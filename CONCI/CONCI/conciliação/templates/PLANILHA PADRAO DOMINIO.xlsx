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1. EXITO EMPRESAS\11. BAIFER DISTRIBUIDORA DE FERRAMENTAS LTDA\DEP. CONTÁBIL\2026\04-2026\Extrato Bancarios\"/>
    </mc:Choice>
  </mc:AlternateContent>
  <xr:revisionPtr revIDLastSave="0" documentId="13_ncr:1_{536185FE-813F-4293-A15B-D4964E32B997}" xr6:coauthVersionLast="47" xr6:coauthVersionMax="47" xr10:uidLastSave="{00000000-0000-0000-0000-000000000000}"/>
  <bookViews>
    <workbookView xWindow="-120" yWindow="-120" windowWidth="29040" windowHeight="15720" xr2:uid="{C5947A67-857F-406D-B4DF-35C391C4709F}"/>
  </bookViews>
  <sheets>
    <sheet name="Planilha1" sheetId="1" r:id="rId1"/>
    <sheet name="Planilha2" sheetId="3" r:id="rId2"/>
    <sheet name="Planilha3" sheetId="4" r:id="rId3"/>
  </sheets>
  <definedNames>
    <definedName name="_xlnm._FilterDatabase" localSheetId="0" hidden="1">Planilha1!$A$1:$F$514</definedName>
    <definedName name="_xlnm._FilterDatabase" localSheetId="1" hidden="1">Planilha2!$A$1:$B$81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B21" i="3"/>
  <c r="B17" i="3"/>
  <c r="B13" i="3"/>
  <c r="B2" i="3"/>
  <c r="B3" i="3"/>
  <c r="B4" i="3"/>
  <c r="B5" i="3"/>
  <c r="B6" i="3"/>
  <c r="B7" i="3"/>
  <c r="B8" i="3"/>
  <c r="B9" i="3"/>
  <c r="B10" i="3"/>
  <c r="B11" i="3"/>
  <c r="B12" i="3"/>
  <c r="B14" i="3"/>
  <c r="B15" i="3"/>
  <c r="B16" i="3"/>
  <c r="B18" i="3"/>
  <c r="B19" i="3"/>
  <c r="B20" i="3"/>
  <c r="B22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</calcChain>
</file>

<file path=xl/sharedStrings.xml><?xml version="1.0" encoding="utf-8"?>
<sst xmlns="http://schemas.openxmlformats.org/spreadsheetml/2006/main" count="1797" uniqueCount="317">
  <si>
    <t>Data</t>
  </si>
  <si>
    <t>Débito</t>
  </si>
  <si>
    <t>Crédito</t>
  </si>
  <si>
    <t>Valor</t>
  </si>
  <si>
    <t>Histórico</t>
  </si>
  <si>
    <t>01/04/2026</t>
  </si>
  <si>
    <t>02/04/2026</t>
  </si>
  <si>
    <t>06/04/2026</t>
  </si>
  <si>
    <t>07/04/2026</t>
  </si>
  <si>
    <t>08/04/2026</t>
  </si>
  <si>
    <t>09/04/2026</t>
  </si>
  <si>
    <t>10/04/2026</t>
  </si>
  <si>
    <t>13/04/2026</t>
  </si>
  <si>
    <t>14/04/2026</t>
  </si>
  <si>
    <t>15/04/2026</t>
  </si>
  <si>
    <t>16/04/2026</t>
  </si>
  <si>
    <t>17/04/2026</t>
  </si>
  <si>
    <t>20/04/2026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</si>
  <si>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</si>
  <si>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</si>
  <si>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</si>
  <si>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</si>
  <si>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</si>
  <si>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</si>
  <si>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</si>
  <si>
    <t>TAR/CUSTAS COBRANCA</t>
  </si>
  <si>
    <t>BOLETO PAGO MENEGOTTI MA</t>
  </si>
  <si>
    <t>BOLETO PAGO TRAPP FUNDO</t>
  </si>
  <si>
    <t>BOLETO PAGO NOVA CASA DI</t>
  </si>
  <si>
    <t>BOLETO PAGO CSM-COMPONEN</t>
  </si>
  <si>
    <t>BOLETO PAGO NOVA DIST DE</t>
  </si>
  <si>
    <t>BOLETO PAGO BLACK E DECK</t>
  </si>
  <si>
    <t>BOLETO PAGO ROBERT BOSCH</t>
  </si>
  <si>
    <t>BOLETO PAGO O V D IMP E</t>
  </si>
  <si>
    <t>BOLETO PAGO SKYTEF</t>
  </si>
  <si>
    <t>BOLETO RECEBIDO 01/04S</t>
  </si>
  <si>
    <t>RES APLIC AUT MAIS</t>
  </si>
  <si>
    <t>RECEBIMENTO REDE MAST DB0096006021</t>
  </si>
  <si>
    <t>RECEBIMENTO REDE VISA DB0096006021</t>
  </si>
  <si>
    <t>RENDIMENTOS REND PAGO APLIC AUT MAIS</t>
  </si>
  <si>
    <t>PIX QR CODE RECEBIDO RODRIGO COR01/04</t>
  </si>
  <si>
    <t>PIX QR CODE RECEBIDO USINOX ARTI01/04</t>
  </si>
  <si>
    <t>PIX QR CODE RECEBIDO MARCOS ALBE01/04</t>
  </si>
  <si>
    <t>TAR PIXQR LIQ MAQUININHA</t>
  </si>
  <si>
    <t>TAR PIX QR CODE LIQUIDA</t>
  </si>
  <si>
    <t>BOLETO PAGO MAKITA BR FE</t>
  </si>
  <si>
    <t>BOLETO PAGO LYNUS IND CO</t>
  </si>
  <si>
    <t>BOLETO PAGO EXITO CONTAB</t>
  </si>
  <si>
    <t>BOLETO PAGO FERRAMENTAS</t>
  </si>
  <si>
    <t>BOLETO PAGO KADESH EQUIP</t>
  </si>
  <si>
    <t>BOLETO PAGO TRAMONTINA P</t>
  </si>
  <si>
    <t>RECEBIMENTOS SDB COM DE ALIM L</t>
  </si>
  <si>
    <t>BOLETO RECEBIDO 02/04S</t>
  </si>
  <si>
    <t>PIX QR CODE RECEBIDO JOAO ALISSO02/04</t>
  </si>
  <si>
    <t>PIX QR CODE RECEBIDO L MENDES SI02/04</t>
  </si>
  <si>
    <t>PIX QR CODE RECEBIDO NATALHA LEI02/04</t>
  </si>
  <si>
    <t>PIX QR CODE RECEBIDO ROSEANA DE 02/04</t>
  </si>
  <si>
    <t>PIX QR CODE RECEBIDO ABIMAEL DA 02/04</t>
  </si>
  <si>
    <t>PIX RECEBIDO BAIFER 02/04</t>
  </si>
  <si>
    <t>APL APLIC AUT MAIS</t>
  </si>
  <si>
    <t>PIX ENVIADO</t>
  </si>
  <si>
    <t>BOLETO PAGO TECIDOS E AR</t>
  </si>
  <si>
    <t>BOLETO PAGO CONDOR ATACA</t>
  </si>
  <si>
    <t>BOLETO PAGO MARCON INDUS</t>
  </si>
  <si>
    <t>BOLETO PAGO GARTHEN IND</t>
  </si>
  <si>
    <t>BOLETO PAGO R. R. SOLU</t>
  </si>
  <si>
    <t>BOLETO PAGO LOTUS COMERC</t>
  </si>
  <si>
    <t>BOLETO PAGO BCO ITAUBBA</t>
  </si>
  <si>
    <t>BOLETO PAGO POSITEC IMPO</t>
  </si>
  <si>
    <t>BOLETO PAGO BEL FIX IMPO</t>
  </si>
  <si>
    <t>BOLETO PAGO MIDASEC</t>
  </si>
  <si>
    <t>BOLETO PAGO SPDF LOGISTI</t>
  </si>
  <si>
    <t>BOLETO PAGO ACTOS COM IM</t>
  </si>
  <si>
    <t>BOLETO PAGO ASL ESPECIAL</t>
  </si>
  <si>
    <t>BOLETO PAGO TAMBASA ATAC</t>
  </si>
  <si>
    <t>RECEBIMENTOS PROCISA BR PROJ C</t>
  </si>
  <si>
    <t>BOLETO RECEBIDO 06/04S</t>
  </si>
  <si>
    <t>PIX QR CODE RECEBIDO ALESSANDRO 06/04</t>
  </si>
  <si>
    <t>PIX QR CODE RECEBIDO ERNANDE BRI04/04</t>
  </si>
  <si>
    <t>PIX QR CODE RECEBIDO SANDRA C SO06/04</t>
  </si>
  <si>
    <t>PIX QR CODE RECEBIDO ARINALDO LI06/04</t>
  </si>
  <si>
    <t>PIX RECEBIDO BAIFER 06/04</t>
  </si>
  <si>
    <t>BOLETO PAGO INFINITY</t>
  </si>
  <si>
    <t>BOLETO PAGO BRITANIA</t>
  </si>
  <si>
    <t>BOLETO PAGO SEMAR IMPORT</t>
  </si>
  <si>
    <t>BOLETO RECEBIDO 07/04S</t>
  </si>
  <si>
    <t>PIX QR CODE RECEBIDO GUSTAVO MAR07/04</t>
  </si>
  <si>
    <t>PIX QR CODE RECEBIDO ERIKA SAMEL07/04</t>
  </si>
  <si>
    <t>SISPAG SALARIOS</t>
  </si>
  <si>
    <t>PAGAMENTOS CONCESSIONARIA</t>
  </si>
  <si>
    <t>BOLETO PAGO AMATOOLS COM</t>
  </si>
  <si>
    <t>BOLETO PAGO PERIM COMERC</t>
  </si>
  <si>
    <t>BOLETO PAGO EQUIPAMENTOS</t>
  </si>
  <si>
    <t>BOLETO PAGO OPCAO COMERC</t>
  </si>
  <si>
    <t>BOLETO RECEBIDO 08/04S</t>
  </si>
  <si>
    <t>PIX QR CODE RECEBIDO WELLINGTON 08/04</t>
  </si>
  <si>
    <t>PIX QR CODE RECEBIDO UNICA ATACADISTA DE</t>
  </si>
  <si>
    <t>PIX QR CODE RECEBIDO JOSE LUIZ C08/04</t>
  </si>
  <si>
    <t>PIX QR CODE RECEBIDO SERGIO ANTO08/04</t>
  </si>
  <si>
    <t>PAGAMENTOS TRIB COD BARRAS</t>
  </si>
  <si>
    <t>BOLETO PAGO METALOSA IND</t>
  </si>
  <si>
    <t>BOLETO PAGO VENTISOL IND</t>
  </si>
  <si>
    <t>BOLETO RECEBIDO 09/04S</t>
  </si>
  <si>
    <t>PIX RECEBIDO LOJA DA09/04</t>
  </si>
  <si>
    <t>PIX RECEBIDO BAIFER 09/04</t>
  </si>
  <si>
    <t>BOLETO PAGO BRITO E GOME</t>
  </si>
  <si>
    <t>BOLETO PAGO ROTHENBERGER</t>
  </si>
  <si>
    <t>BOLETO RECEBIDO 10/04S</t>
  </si>
  <si>
    <t>PIX QR CODE RECEBIDO GLEYDSON AP10/04</t>
  </si>
  <si>
    <t>PIX QR CODE RECEBIDO CRIARTS S F10/04</t>
  </si>
  <si>
    <t>PIX QR CODE RECEBIDO SELMA AMARA10/04</t>
  </si>
  <si>
    <t>PIX QR CODE RECEBIDO ALESSANDRO 10/04</t>
  </si>
  <si>
    <t>PIX QR CODE RECEBIDO AIRTON FERR10/04</t>
  </si>
  <si>
    <t>PIX RECEBIDO LOJA DA10/04</t>
  </si>
  <si>
    <t>PIX RECEBIDO BAIFER 10/04</t>
  </si>
  <si>
    <t>BOLETO PAGO FRIGELAR COM</t>
  </si>
  <si>
    <t>BOLETO PAGO MENEGOTTI IN</t>
  </si>
  <si>
    <t>BOLETO PAGO TERRA U C D</t>
  </si>
  <si>
    <t>BOLETO PAGO CHIAPERINI P</t>
  </si>
  <si>
    <t>BOLETO PAGO SPINNER INDU</t>
  </si>
  <si>
    <t>BOLETO RECEBIDO 13/04S</t>
  </si>
  <si>
    <t>PIX QR CODE RECEBIDO RAIMUNDO FE13/04</t>
  </si>
  <si>
    <t>PIX QR CODE RECEBIDO LEANDRO PAU11/04</t>
  </si>
  <si>
    <t>PIX QR CODE RECEBIDO MARCIO HENR13/04</t>
  </si>
  <si>
    <t>PIX QR CODE RECEBIDO RAIMUNDO FE11/04</t>
  </si>
  <si>
    <t>PIX QR CODE RECEBIDO PEDRO FERNA11/04</t>
  </si>
  <si>
    <t>PIX RECEBIDO LOJA DA13/04</t>
  </si>
  <si>
    <t>BOLETO PAGO IMPORTADORA</t>
  </si>
  <si>
    <t>BOLETO PAGO FAFS FERRAME</t>
  </si>
  <si>
    <t>BOLETO PAGO DC DISTRIBUI</t>
  </si>
  <si>
    <t>BOLETO RECEBIDO 14/04S</t>
  </si>
  <si>
    <t>PIX QR CODE RECEBIDO ARINALDO LI14/04</t>
  </si>
  <si>
    <t>PIX RECEBIDO LOJA DA14/04</t>
  </si>
  <si>
    <t>PIX RECEBIDO BAIFER 14/04</t>
  </si>
  <si>
    <t>BOLETO PAGO ITAU UNIBANC</t>
  </si>
  <si>
    <t>BOLETO RECEBIDO 15/04S</t>
  </si>
  <si>
    <t>PIX QR CODE RECEBIDO JOERBE DIAS15/04</t>
  </si>
  <si>
    <t>PIX QR CODE RECEBIDO PITERSON LI15/04</t>
  </si>
  <si>
    <t>PIX RECEBIDO BINATUR15/04</t>
  </si>
  <si>
    <t>PIX RECEBIDO BAIFER 15/04</t>
  </si>
  <si>
    <t>PIX RECEBIDO LOJA DA15/04</t>
  </si>
  <si>
    <t>BOLETO PAGO RODONAVES TR</t>
  </si>
  <si>
    <t>BOLETO PAGO JC LUBRIFICA</t>
  </si>
  <si>
    <t>BOLETO PAGO AZURELOG TRA</t>
  </si>
  <si>
    <t>BOLETO PAGO TOYAMA DO BR</t>
  </si>
  <si>
    <t>BOLETO PAGO MARCON</t>
  </si>
  <si>
    <t>BOLETO RECEBIDO 16/04S</t>
  </si>
  <si>
    <t>PIX QR CODE RECEBIDO GUSTAVO HEN16/04</t>
  </si>
  <si>
    <t>PIX QR CODE RECEBIDO PLANEAR AUTOMACAO E</t>
  </si>
  <si>
    <t>PIX QR CODE RECEBIDO ANDRE MARVI16/04</t>
  </si>
  <si>
    <t>PIX QR CODE RECEBIDO WILLER RODR16/04</t>
  </si>
  <si>
    <t>PIX RECEBIDO BAIFER 16/04</t>
  </si>
  <si>
    <t>PIX RECEBIDO LOJA DA16/04</t>
  </si>
  <si>
    <t>BOLETO PAGO ATLANTA FUND</t>
  </si>
  <si>
    <t>BOLETO PAGO CAPITAL HILL</t>
  </si>
  <si>
    <t>BOLETO PAGO MUNDIAL CENT</t>
  </si>
  <si>
    <t>BOLETO PAGO SANTINT DO B</t>
  </si>
  <si>
    <t>BOLETO RECEBIDO 17/04S</t>
  </si>
  <si>
    <t>PIX QR CODE RECEBIDO FABIO SILVA17/04</t>
  </si>
  <si>
    <t>PIX QR CODE RECEBIDO OURISAN CAR17/04</t>
  </si>
  <si>
    <t>PIX RECEBIDO BAIFER 17/04</t>
  </si>
  <si>
    <t>PIX RECEBIDO LOJA DA17/04</t>
  </si>
  <si>
    <t>PAGAMENTOS PIX QR-CODE</t>
  </si>
  <si>
    <t>BOLETO PAGO PRIMEIRA LIN</t>
  </si>
  <si>
    <t>BOLETO PAGO METALPAMA IN</t>
  </si>
  <si>
    <t>BOLETO PAGO PALETRANS EQ</t>
  </si>
  <si>
    <t>BOLETO PAGO SIRIZINHO TO</t>
  </si>
  <si>
    <t>BOLETO RECEBIDO 20/04S</t>
  </si>
  <si>
    <t>RECEBIMENTO REDE MAST CD0096006021</t>
  </si>
  <si>
    <t>PIX QR CODE RECEBIDO 44.829.074 20/04</t>
  </si>
  <si>
    <t>PIX QR CODE RECEBIDO ARNALDO MEN20/04</t>
  </si>
  <si>
    <t>PIX QR CODE RECEBIDO ISAAC DA CR20/04</t>
  </si>
  <si>
    <t>PIX QR CODE RECEBIDO ROMAQ TERRA18/04</t>
  </si>
  <si>
    <t>PIX QR CODE RECEBIDO ESCOLA DE J20/04</t>
  </si>
  <si>
    <t>PIX QR CODE RECEBIDO LAP GLASS18/04</t>
  </si>
  <si>
    <t>PIX QR CODE RECEBIDO PEDRO HENRI20/04</t>
  </si>
  <si>
    <t>PIX QR CODE RECEBIDO LUIZA LUANA18/04</t>
  </si>
  <si>
    <t>PIX RECEBIDO LOJA DA20/04</t>
  </si>
  <si>
    <t>PIX RECEBIDO BAIFER 20/04</t>
  </si>
  <si>
    <t>BOLETO PAGO BRASIL CID C</t>
  </si>
  <si>
    <t>BOLETO PAGO BBF DISTRIBU</t>
  </si>
  <si>
    <t>BOLETO PAGO MULTIPLIKE S</t>
  </si>
  <si>
    <t>BOLETO PAGO DF EPI COMER</t>
  </si>
  <si>
    <t>BOLETO PAGO MARLUVAS EQU</t>
  </si>
  <si>
    <t>BOLETO RECEBIDO 22/04S</t>
  </si>
  <si>
    <t>RECEBIMENTO REDE VISA AT0096006021</t>
  </si>
  <si>
    <t>RECEBIMENTO REDE ELO AT0096006021</t>
  </si>
  <si>
    <t>RECEBIMENTO REDE MAST AT0096006021</t>
  </si>
  <si>
    <t>RECEBIMENTO REDE VISA CD0096006021</t>
  </si>
  <si>
    <t>PIX QR CODE RECEBIDO GUILHERME J22/04</t>
  </si>
  <si>
    <t>PIX QR CODE RECEBIDO CLIMATIZECA22/04</t>
  </si>
  <si>
    <t>PIX QR CODE RECEBIDO 19 253 926 22/04</t>
  </si>
  <si>
    <t>PIX RECEBIDO BAIFER 22/04</t>
  </si>
  <si>
    <t>BOLETO PAGO SUPER SAFETY</t>
  </si>
  <si>
    <t>BOLETO PAGO PACK 61 EMBA</t>
  </si>
  <si>
    <t>BOLETO PAGO SCHULZ COMPR</t>
  </si>
  <si>
    <t>BOLETO PAGO R7X INDUSTRI</t>
  </si>
  <si>
    <t>BOLETO RECEBIDO 23/04S</t>
  </si>
  <si>
    <t>PIX QR CODE RECEBIDO REGINALDO A23/04</t>
  </si>
  <si>
    <t>PIX RECEBIDO LOJA DA23/04</t>
  </si>
  <si>
    <t>PIX RECEBIDO BAIFER 23/04</t>
  </si>
  <si>
    <t>BOLETO PAGO GW WIRELLES</t>
  </si>
  <si>
    <t>BOLETO RECEBIDO 24/04S</t>
  </si>
  <si>
    <t>PIX QR CODE RECEBIDO WESLEI CAET24/04</t>
  </si>
  <si>
    <t>PIX QR CODE RECEBIDO ANA BEATRIZ24/04</t>
  </si>
  <si>
    <t>PIX RECEBIDO LOJA DA24/04</t>
  </si>
  <si>
    <t>BOLETO PAGO GALZER IMPOR</t>
  </si>
  <si>
    <t>BOLETO PAGO EDYTECH COME</t>
  </si>
  <si>
    <t>BOLETO RECEBIDO 27/04S</t>
  </si>
  <si>
    <t>PIX QR CODE RECEBIDO 50.886.671 27/04</t>
  </si>
  <si>
    <t>PIX QR CODE RECEBIDO 45.225.187 27/04</t>
  </si>
  <si>
    <t>PIX QR CODE RECEBIDO AMIR SEBBA 27/04</t>
  </si>
  <si>
    <t>PIX RECEBIDO LOJA DA27/04</t>
  </si>
  <si>
    <t>BOLETO PAGO WELD VISION</t>
  </si>
  <si>
    <t>BOLETO RECEBIDO 28/04S</t>
  </si>
  <si>
    <t>PIX QR CODE RECEBIDO LIBANES CEN28/04</t>
  </si>
  <si>
    <t>BOLETO PAGO LOTUS COML F</t>
  </si>
  <si>
    <t>BOLETO PAGO FLAJE FERRAM</t>
  </si>
  <si>
    <t>BOLETO RECEBIDO 29/04S</t>
  </si>
  <si>
    <t>PIX QR CODE RECEBIDO GUILHERME J29/04</t>
  </si>
  <si>
    <t>PIX QR CODE RECEBIDO YURI NASCIM29/04</t>
  </si>
  <si>
    <t>PIX RECEBIDO BAIFER 29/04</t>
  </si>
  <si>
    <t>BOLETO PAGO VCH IMPORTAD</t>
  </si>
  <si>
    <t>BOLETO RECEBIDO 30/04S</t>
  </si>
  <si>
    <t>RECEBIMENTO REDE ELO DB0096006021</t>
  </si>
  <si>
    <t>PIX RECEBIDO BAIFER 30/04</t>
  </si>
  <si>
    <t>PIX RECEBIDO LOJA DA30/04</t>
  </si>
  <si>
    <t>FORNECEDORES</t>
  </si>
  <si>
    <t>BLACK E DECKER DO BRASIL LTDA</t>
  </si>
  <si>
    <t>CSM COMPONENTES SISTEMAS E MAQUINAS PARA CONSTRUCA</t>
  </si>
  <si>
    <t>GURGELMIX MAQUINAS E FERRAMENTAS S.A.</t>
  </si>
  <si>
    <t>HIDROMEPE ENG. MANUT.HIDR. IND. COM.LTDA</t>
  </si>
  <si>
    <t>MENEGOTTI INDUSTRIAS METALURGICAS LTDA EM RECUPER.</t>
  </si>
  <si>
    <t>METALURGICA TRAPP LTDA</t>
  </si>
  <si>
    <t>MULTIVAREJO ES LTDA</t>
  </si>
  <si>
    <t>NOVA CASA DIST MAT CONST S/A DF FL 02</t>
  </si>
  <si>
    <t>NOVA DISTRIBUIDORA DE FERRAGENS LTDA</t>
  </si>
  <si>
    <t>O.V.D. IMPORTADORA E DISTRIBUIDORA LTDA</t>
  </si>
  <si>
    <t>PNEUBEST COMERCIAL LTDA</t>
  </si>
  <si>
    <t>ROBERT BOSCH LIMITADA</t>
  </si>
  <si>
    <t>1 - PNEUGREEN LTDA</t>
  </si>
  <si>
    <t>KADESH CALCADOS PROFISSIONAIS LTDA</t>
  </si>
  <si>
    <t>LYNUS INDUSTRIA COMERCIO IMPORTACAO E EXPORTACAO</t>
  </si>
  <si>
    <t>TRAMONTINA PLANALTO S/A</t>
  </si>
  <si>
    <t>3FERRAMENTAS GEDORE DO BRASIL LTDA</t>
  </si>
  <si>
    <t>ACTOS COM. IMP. EXP. LTDA</t>
  </si>
  <si>
    <t>ASL ESPECIALISTA FILTROS E PECAS LTDA</t>
  </si>
  <si>
    <t>CONDOR ATACADISTA DE MATERIAIS PARA CONSTRUCAO S/A</t>
  </si>
  <si>
    <t>GARTHEN INDUSTRIA E COMERCIO DE MAQUINAS LTDA</t>
  </si>
  <si>
    <t>MARCON INDUSTRIA METALURGICA LTDA</t>
  </si>
  <si>
    <t>RESOLVE AQUI SOLUCOES HIDRAULICAS LTDA</t>
  </si>
  <si>
    <t>BRANSALES ATACADISTA LTDA</t>
  </si>
  <si>
    <t>MAKITA DO BRASIL FERRAMENTAS ELETRICAS LTDA</t>
  </si>
  <si>
    <t>POSITEC IMPORTACAO DE FERRAMENTAS LTDA</t>
  </si>
  <si>
    <t>TECIDOS E ARMARINHOS MIGUEL BARTOLOMEU S/A</t>
  </si>
  <si>
    <t>DOIS IRMAOS FABRICACAO DE FERRAMENTAS EIRELI</t>
  </si>
  <si>
    <t>BEL FIX IMPORTACAO LTDA</t>
  </si>
  <si>
    <t>CHIAPERINI INDUSTRIAL LTDA</t>
  </si>
  <si>
    <t>LOTUS COMERCIAL DE FERRAGENS E FERRAMENTAS LTDA</t>
  </si>
  <si>
    <t>METALURGICA MOR S.A - MATRIZ</t>
  </si>
  <si>
    <t>BRITANIA ELETRODOMESTICOS SA</t>
  </si>
  <si>
    <t>DIMENSIONAL BRASIL SOLUCOES LTDA</t>
  </si>
  <si>
    <t>INFINITY COM. IMPORTAA?A?O E EXPORTACAO DE EQUIP. DE SEGURAN</t>
  </si>
  <si>
    <t>SEMAR IMPORT ATACADISTA LTDA</t>
  </si>
  <si>
    <t>AMATOOLS COML. E IMPORTADORA LTDA</t>
  </si>
  <si>
    <t>EBAZAR.COM.BR. LTDA</t>
  </si>
  <si>
    <t>EQUIPAMENTOS EMEB DO BRASIL LTDA</t>
  </si>
  <si>
    <t>OPCAO ATACADISTA</t>
  </si>
  <si>
    <t>PERIM COMERCIO ATACADISTA E VAREJISTA DE AUTO PECAS LTDA</t>
  </si>
  <si>
    <t>CK AUTO PECAS LTDA</t>
  </si>
  <si>
    <t>METALOSA INDUSTRIA METALURGICA SA -FILIAL 08</t>
  </si>
  <si>
    <t>VENTISOL INDUSTRIA E COMERCIO S. A.</t>
  </si>
  <si>
    <t>ROTHENBERGER DO BRASIL LTDA</t>
  </si>
  <si>
    <t>MARCENARIA SAO JOSE LTDA</t>
  </si>
  <si>
    <t>TERRA UTIL COMERCIO DE FERRAMENTAS E UTILIDADES LT</t>
  </si>
  <si>
    <t>FRIGELAR COMERCIO E INDUSTRIA LTDA</t>
  </si>
  <si>
    <t>SPINNER INDUSTRIA E COMERCIO LTDA.</t>
  </si>
  <si>
    <t>DC DISTRIBUIDORA DE EQUIPAMENTOS DE TELECOMUNICACOES - EIREL</t>
  </si>
  <si>
    <t>FAFS FERRAMENTARIA LTDA</t>
  </si>
  <si>
    <t>IMPORTADORA EDA LTDA</t>
  </si>
  <si>
    <t>A.N.T. FERRAMENTAS - COMERCIAL E IMPORTADORA LTDA</t>
  </si>
  <si>
    <t>COFERRAZE COMERCIO DE FERRAMENTAS LTDA</t>
  </si>
  <si>
    <t>COMERCIAL VIPASA LTDA</t>
  </si>
  <si>
    <t>DUCTILFORM LTDA</t>
  </si>
  <si>
    <t>GILBERTO BASSO JUNIOR</t>
  </si>
  <si>
    <t>HILTI DO BRASIL COMERCIAL LTDA</t>
  </si>
  <si>
    <t>ITAU UNIBANCO HOLDING S.A.</t>
  </si>
  <si>
    <t>JBE DISTRIBUIDORA DE TINTAS E ABRASIVOS LTDA</t>
  </si>
  <si>
    <t>MAGAZINE CECI LTDA</t>
  </si>
  <si>
    <t>QUIBAO DISTRIBUIDORA DE PECAS LTDA</t>
  </si>
  <si>
    <t>VINICIUS F. SILVA COMERCIO FERRAGENS E FERRAMENTAS</t>
  </si>
  <si>
    <t>WIAN ONLINE LTDA</t>
  </si>
  <si>
    <t>JC LUBRIFICANTES AUTOMOTIVOS LTDA</t>
  </si>
  <si>
    <t>TOYAMA DO BRASIL MAQUINAS LTDA</t>
  </si>
  <si>
    <t>IBMF - INDUSTRIA DE MATERIAIS PARA CONSTRUCAO LTDA (1)</t>
  </si>
  <si>
    <t>MUNDIAL CENTER ATACADISTA S/A</t>
  </si>
  <si>
    <t>SANTINT DO BRASIL LTDA</t>
  </si>
  <si>
    <t>PRODETAIL INSUMOS AUTOMOTIVOS LTDA</t>
  </si>
  <si>
    <t>SIRIZINHO TOOL IMPORTACAO EXPORTACAO E COMERCIO LTDA</t>
  </si>
  <si>
    <t>METALPAMA INDUSTRIA E COMERCIO LTDA</t>
  </si>
  <si>
    <t>PALETRANS EQUIPAMENTOS LTDA</t>
  </si>
  <si>
    <t>PRIMEIRA LINHA COMERCIAL ROLAMENTOS LTDA</t>
  </si>
  <si>
    <t>BBF DISTRIBUIDORA NE LTDA</t>
  </si>
  <si>
    <t>DF EPI COMERCIO DE EQUIPAMENTOS DE PROTECAO INDIVIDUAL LTDA</t>
  </si>
  <si>
    <t>ESFERA ESTAMPARIA DE FERRO E ACO LTDA</t>
  </si>
  <si>
    <t>BRASIL CID COMERCIO DE FERRAMENTAS LTDA</t>
  </si>
  <si>
    <t>MARLUVAS EQUIPAMENTOS DE SEGURANCA LTDA</t>
  </si>
  <si>
    <t>PACK61 DISTRIBUICAO E EMBALAGENS LTDA</t>
  </si>
  <si>
    <t>R7X INDUSTRIA DE EMBALAGENS LTDA</t>
  </si>
  <si>
    <t>SCHULZ COMPRESSORES LTDA</t>
  </si>
  <si>
    <t>SUPER SAFETY IMPORTACAO E EXPORTACAO LTDA</t>
  </si>
  <si>
    <t>GW WIRELESS FILIAL DF</t>
  </si>
  <si>
    <t>EDYTECH COMERCIO DE PRODUTOS DE INFORMATICA LTDA</t>
  </si>
  <si>
    <t>GALZER IMPORTACAO E EXPORTACAO LTDA</t>
  </si>
  <si>
    <t>WELD VISION IMPORTACAO E EXPORTACAO</t>
  </si>
  <si>
    <t>FLAJE FERRAMENTAS LTDA.</t>
  </si>
  <si>
    <t>VCH - IMPORTADORA EXPORTADORA E DISTRIBUICAO DE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</si>
</sst>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;[Red]&quot;-&quot;#,##0.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name val="Arial"/>
    </font>
    <font>
      <b/>
      <sz val="11"/>
      <color rgb="FF999999"/>
      <name val="Tahoma"/>
      <family val="2"/>
    </font>
    <font>
      <sz val="10"/>
      <color theme="1"/>
      <name val="Tahoma"/>
      <family val="2"/>
    </font>
    <font>
      <b/>
      <sz val="20"/>
      <color rgb="FFFFFFFF"/>
      <name val="Tahoma"/>
      <family val="2"/>
    </font>
    <font>
      <b/>
      <sz val="11"/>
      <color theme="1"/>
      <name val="Tahoma"/>
      <family val="2"/>
    </font>
    <font>
      <b/>
      <sz val="10"/>
      <color rgb="FF008000"/>
      <name val="Tahoma"/>
      <family val="2"/>
    </font>
    <font>
      <b/>
      <sz val="11"/>
      <color rgb="FF008000"/>
      <name val="Tahoma"/>
      <family val="2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b/>
      <sz val="10"/>
      <color rgb="FF000080"/>
      <name val="Tahoma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B1F6F"/>
        <bgColor rgb="FF4B1F6F"/>
      </patternFill>
    </fill>
    <fill>
      <patternFill patternType="solid">
        <fgColor rgb="FFE6E6FF"/>
        <bgColor rgb="FFE6E6FF"/>
      </patternFill>
    </fill>
    <fill>
      <patternFill patternType="solid">
        <fgColor rgb="FFE6E6E6"/>
        <bgColor rgb="FFE6E6E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2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Protection="0">
      <alignment horizontal="left"/>
    </xf>
    <xf numFmtId="0" fontId="5" fillId="0" borderId="0" applyNumberFormat="0" applyFill="0" applyBorder="0" applyProtection="0">
      <alignment horizontal="right"/>
    </xf>
    <xf numFmtId="0" fontId="6" fillId="0" borderId="0" applyNumberFormat="0" applyFill="0" applyBorder="0" applyProtection="0">
      <alignment horizontal="left"/>
    </xf>
    <xf numFmtId="0" fontId="7" fillId="2" borderId="0" applyNumberFormat="0" applyBorder="0" applyProtection="0">
      <alignment horizontal="center"/>
    </xf>
    <xf numFmtId="0" fontId="8" fillId="3" borderId="0" applyNumberFormat="0" applyBorder="0" applyProtection="0">
      <alignment horizontal="right"/>
    </xf>
    <xf numFmtId="0" fontId="8" fillId="3" borderId="0" applyNumberFormat="0" applyBorder="0" applyProtection="0">
      <alignment horizontal="left"/>
    </xf>
    <xf numFmtId="0" fontId="8" fillId="3" borderId="0" applyNumberFormat="0" applyBorder="0" applyProtection="0">
      <alignment horizontal="center"/>
    </xf>
    <xf numFmtId="0" fontId="9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left"/>
    </xf>
    <xf numFmtId="0" fontId="6" fillId="0" borderId="0" applyNumberFormat="0" applyFill="0" applyBorder="0" applyProtection="0">
      <alignment horizontal="right"/>
    </xf>
    <xf numFmtId="0" fontId="6" fillId="0" borderId="0" applyNumberFormat="0" applyFill="0" applyBorder="0" applyProtection="0">
      <alignment horizontal="center"/>
    </xf>
    <xf numFmtId="164" fontId="6" fillId="0" borderId="0" applyFill="0" applyBorder="0" applyProtection="0">
      <alignment horizontal="right"/>
    </xf>
    <xf numFmtId="0" fontId="11" fillId="0" borderId="0" applyNumberFormat="0" applyFill="0" applyBorder="0" applyProtection="0">
      <alignment horizontal="right"/>
    </xf>
    <xf numFmtId="0" fontId="12" fillId="0" borderId="0" applyNumberFormat="0" applyFill="0" applyBorder="0" applyProtection="0">
      <alignment horizontal="left"/>
    </xf>
    <xf numFmtId="164" fontId="11" fillId="0" borderId="0" applyFill="0" applyBorder="0" applyProtection="0">
      <alignment horizontal="right"/>
    </xf>
    <xf numFmtId="0" fontId="8" fillId="4" borderId="0" applyNumberFormat="0" applyBorder="0" applyProtection="0">
      <alignment horizontal="center"/>
    </xf>
    <xf numFmtId="0" fontId="8" fillId="4" borderId="0" applyNumberFormat="0" applyBorder="0" applyProtection="0">
      <alignment horizontal="left"/>
    </xf>
    <xf numFmtId="0" fontId="8" fillId="4" borderId="0" applyNumberFormat="0" applyBorder="0" applyProtection="0">
      <alignment horizontal="right"/>
    </xf>
    <xf numFmtId="0" fontId="13" fillId="3" borderId="0" applyNumberFormat="0" applyBorder="0" applyProtection="0">
      <alignment horizontal="left"/>
    </xf>
    <xf numFmtId="44" fontId="1" fillId="0" borderId="0" applyFont="0" applyFill="0" applyBorder="0" applyAlignment="0" applyProtection="0"/>
  </cellStyleXfs>
  <cellXfs count="26">
    <xf numFmtId="0" fontId="0" fillId="0" borderId="0" xfId="0"/>
    <xf numFmtId="14" fontId="2" fillId="0" borderId="0" xfId="0" applyNumberFormat="1" applyFont="1"/>
    <xf numFmtId="0" fontId="2" fillId="0" borderId="0" xfId="0" applyFont="1" applyAlignment="1">
      <alignment horizontal="center"/>
    </xf>
    <xf numFmtId="43" fontId="2" fillId="0" borderId="0" xfId="1" applyFont="1"/>
    <xf numFmtId="0" fontId="2" fillId="0" borderId="0" xfId="0" applyFont="1"/>
    <xf numFmtId="14" fontId="0" fillId="0" borderId="0" xfId="0" applyNumberFormat="1"/>
    <xf numFmtId="0" fontId="3" fillId="0" borderId="0" xfId="0" applyFont="1" applyAlignment="1">
      <alignment horizontal="center"/>
    </xf>
    <xf numFmtId="43" fontId="0" fillId="0" borderId="0" xfId="0" applyNumberFormat="1"/>
    <xf numFmtId="0" fontId="1" fillId="0" borderId="0" xfId="0" applyFont="1"/>
    <xf numFmtId="2" fontId="2" fillId="0" borderId="0" xfId="1" applyNumberFormat="1" applyFont="1"/>
    <xf numFmtId="2" fontId="0" fillId="0" borderId="0" xfId="0" applyNumberFormat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6" fillId="0" borderId="0" xfId="4">
      <alignment horizontal="left"/>
    </xf>
    <xf numFmtId="0" fontId="10" fillId="0" borderId="0" xfId="10">
      <alignment horizontal="left"/>
    </xf>
    <xf numFmtId="0" fontId="4" fillId="5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center"/>
    </xf>
    <xf numFmtId="0" fontId="4" fillId="5" borderId="1" xfId="0" applyFont="1" applyFill="1" applyBorder="1" applyAlignment="1">
      <alignment horizontal="right" vertical="center"/>
    </xf>
    <xf numFmtId="43" fontId="0" fillId="5" borderId="0" xfId="0" applyNumberFormat="1" applyFill="1"/>
    <xf numFmtId="44" fontId="4" fillId="5" borderId="1" xfId="21" applyFont="1" applyFill="1" applyBorder="1" applyAlignment="1">
      <alignment horizontal="right" vertical="center"/>
    </xf>
    <xf numFmtId="0" fontId="14" fillId="5" borderId="1" xfId="0" applyFont="1" applyFill="1" applyBorder="1" applyAlignment="1">
      <alignment horizontal="left" vertical="center"/>
    </xf>
    <xf numFmtId="44" fontId="0" fillId="0" borderId="0" xfId="21" applyFont="1"/>
    <xf numFmtId="0" fontId="4" fillId="6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center"/>
    </xf>
    <xf numFmtId="0" fontId="4" fillId="6" borderId="1" xfId="0" applyFont="1" applyFill="1" applyBorder="1" applyAlignment="1">
      <alignment horizontal="right" vertical="center"/>
    </xf>
    <xf numFmtId="43" fontId="0" fillId="6" borderId="0" xfId="0" applyNumberFormat="1" applyFill="1"/>
  </cellXfs>
  <cellStyles count="22">
    <cellStyle name="ce0" xfId="4" xr:uid="{8F91397F-E154-4AD5-8CF2-E1AF7A33096E}"/>
    <cellStyle name="ce1" xfId="5" xr:uid="{E8D1C120-2769-4321-B9A4-8DA2DE4931F6}"/>
    <cellStyle name="ce10" xfId="15" xr:uid="{1D1A6F62-2093-4BEE-B048-BF078CEC2F24}"/>
    <cellStyle name="ce12" xfId="11" xr:uid="{AC421CA2-69EE-4D41-A735-19F38DB7E083}"/>
    <cellStyle name="ce12N2" xfId="13" xr:uid="{DDC8C8F6-CF7D-4F4D-A509-FACDCFDB8DA7}"/>
    <cellStyle name="ce156" xfId="20" xr:uid="{DA887322-064D-4499-A127-323DBA82AA6A}"/>
    <cellStyle name="ce2" xfId="2" xr:uid="{2CBB8FCE-75AE-4D26-836B-6CBA4F0B234C}"/>
    <cellStyle name="ce23" xfId="19" xr:uid="{E6164E3B-4F32-40C4-B7FC-EDB86C43C348}"/>
    <cellStyle name="ce24" xfId="18" xr:uid="{69CB2E87-3560-4429-8C52-D46E0B7746D5}"/>
    <cellStyle name="ce25" xfId="17" xr:uid="{DA184A52-D457-4A40-94A3-CBE06EE67881}"/>
    <cellStyle name="ce26" xfId="14" xr:uid="{6B364FD2-3AFE-4016-93A7-580397432D5A}"/>
    <cellStyle name="ce26N2" xfId="16" xr:uid="{8452C529-F9AC-4C33-B6F1-68CFB71F750E}"/>
    <cellStyle name="ce3" xfId="3" xr:uid="{174A0835-2AB8-4F08-933F-5F2327643762}"/>
    <cellStyle name="ce4" xfId="7" xr:uid="{F574222E-8DA9-4EE0-8CCA-5E5BE65042E1}"/>
    <cellStyle name="ce5" xfId="8" xr:uid="{1632203F-A0CC-40D0-AEEB-47C0635C6289}"/>
    <cellStyle name="ce59" xfId="9" xr:uid="{6BA0C056-575D-449E-A27E-7DC0B2E989A0}"/>
    <cellStyle name="ce6" xfId="6" xr:uid="{47C1C676-96A2-4ACB-A97D-4B0F8B7A0E30}"/>
    <cellStyle name="ce74" xfId="10" xr:uid="{FF8FA263-6CF2-4280-9CD6-A7E4A745B04B}"/>
    <cellStyle name="ce9" xfId="12" xr:uid="{D97D8465-0089-4030-BECB-EC79968646FF}"/>
    <cellStyle name="Moeda" xfId="21" builtinId="4"/>
    <cellStyle name="Normal" xfId="0" builtinId="0"/>
    <cellStyle name="Vírgula" xfId="1" builtinId="3"/>
  </cellStyles>
  <dxfs count="2">
    <dxf>
      <font>
        <color rgb="FF035708"/>
      </font>
      <numFmt numFmtId="4" formatCode="#,##0.00"/>
    </dxf>
    <dxf>
      <font>
        <color rgb="FF8B0000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43CE-02AC-461F-8177-A19F8F6E54B2}">
  <dimension ref="A1:F850"/>
  <sheetViews>
    <sheetView tabSelected="1" workbookViewId="0">
      <selection activeCell="F22" sqref="F22"/>
    </sheetView>
  </sheetViews>
  <sheetFormatPr defaultRowHeight="15" x14ac:dyDescent="0.25"/>
  <cols>
    <col min="1" max="1" width="10.42578125" bestFit="1" customWidth="1"/>
    <col min="4" max="4" width="11.5703125" style="10" bestFit="1" customWidth="1"/>
    <col min="6" max="6" width="53.85546875" bestFit="1" customWidth="1"/>
    <col min="8" max="8" width="18" bestFit="1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9" t="s">
        <v>3</v>
      </c>
      <c r="E1" s="3"/>
      <c r="F1" s="4" t="s">
        <v>4</v>
      </c>
    </row>
    <row r="2" spans="1:6" x14ac:dyDescent="0.25">
      <c r="A2" s="15" t="s">
        <v>5</v>
      </c>
      <c r="B2" s="16">
        <v>1025</v>
      </c>
      <c r="C2" s="16">
        <v>9</v>
      </c>
      <c r="D2" s="19">
        <v>-1.89</v>
      </c>
      <c r="E2" s="18"/>
      <c r="F2" s="20" t="s">
        <v>25</v>
      </c>
    </row>
    <row r="3" spans="1:6" x14ac:dyDescent="0.25">
      <c r="A3" s="15" t="s">
        <v>5</v>
      </c>
      <c r="B3" s="16">
        <v>1004</v>
      </c>
      <c r="C3" s="16">
        <v>9</v>
      </c>
      <c r="D3" s="17">
        <v>-1648.58</v>
      </c>
      <c r="E3" s="18"/>
      <c r="F3" s="20" t="s">
        <v>26</v>
      </c>
    </row>
    <row r="4" spans="1:6" x14ac:dyDescent="0.25">
      <c r="A4" s="15" t="s">
        <v>5</v>
      </c>
      <c r="B4" s="16">
        <v>1004</v>
      </c>
      <c r="C4" s="16">
        <v>9</v>
      </c>
      <c r="D4" s="17">
        <v>-2747.61</v>
      </c>
      <c r="E4" s="18"/>
      <c r="F4" s="20" t="s">
        <v>27</v>
      </c>
    </row>
    <row r="5" spans="1:6" x14ac:dyDescent="0.25">
      <c r="A5" s="15" t="s">
        <v>5</v>
      </c>
      <c r="B5" s="16">
        <v>1004</v>
      </c>
      <c r="C5" s="16">
        <v>9</v>
      </c>
      <c r="D5" s="17">
        <v>-685.4</v>
      </c>
      <c r="E5" s="18"/>
      <c r="F5" s="15" t="s">
        <v>26</v>
      </c>
    </row>
    <row r="6" spans="1:6" x14ac:dyDescent="0.25">
      <c r="A6" s="15" t="s">
        <v>5</v>
      </c>
      <c r="B6" s="16">
        <v>1004</v>
      </c>
      <c r="C6" s="16">
        <v>9</v>
      </c>
      <c r="D6" s="17">
        <v>-395.27</v>
      </c>
      <c r="E6" s="18"/>
      <c r="F6" s="15" t="s">
        <v>26</v>
      </c>
    </row>
    <row r="7" spans="1:6" x14ac:dyDescent="0.25">
      <c r="A7" s="15" t="s">
        <v>5</v>
      </c>
      <c r="B7" s="16">
        <v>1004</v>
      </c>
      <c r="C7" s="16">
        <v>9</v>
      </c>
      <c r="D7" s="17">
        <v>-837.27</v>
      </c>
      <c r="E7" s="18"/>
      <c r="F7" s="20" t="s">
        <v>28</v>
      </c>
    </row>
    <row r="8" spans="1:6" x14ac:dyDescent="0.25">
      <c r="A8" s="15" t="s">
        <v>5</v>
      </c>
      <c r="B8" s="16">
        <v>1004</v>
      </c>
      <c r="C8" s="16">
        <v>9</v>
      </c>
      <c r="D8" s="17">
        <v>-418.63</v>
      </c>
      <c r="E8" s="18"/>
      <c r="F8" s="20" t="s">
        <v>29</v>
      </c>
    </row>
    <row r="9" spans="1:6" x14ac:dyDescent="0.25">
      <c r="A9" s="15" t="s">
        <v>5</v>
      </c>
      <c r="B9" s="16">
        <v>1004</v>
      </c>
      <c r="C9" s="16">
        <v>9</v>
      </c>
      <c r="D9" s="17">
        <v>-514.44000000000005</v>
      </c>
      <c r="E9" s="18"/>
      <c r="F9" s="20" t="s">
        <v>30</v>
      </c>
    </row>
    <row r="10" spans="1:6" x14ac:dyDescent="0.25">
      <c r="A10" s="15" t="s">
        <v>5</v>
      </c>
      <c r="B10" s="16">
        <v>1004</v>
      </c>
      <c r="C10" s="16">
        <v>9</v>
      </c>
      <c r="D10" s="17">
        <v>-4585.1400000000003</v>
      </c>
      <c r="E10" s="18"/>
      <c r="F10" s="15" t="s">
        <v>31</v>
      </c>
    </row>
    <row r="11" spans="1:6" x14ac:dyDescent="0.25">
      <c r="A11" s="15" t="s">
        <v>5</v>
      </c>
      <c r="B11" s="16">
        <v>1004</v>
      </c>
      <c r="C11" s="16">
        <v>9</v>
      </c>
      <c r="D11" s="17">
        <v>-1300.99</v>
      </c>
      <c r="E11" s="18"/>
      <c r="F11" s="15" t="s">
        <v>32</v>
      </c>
    </row>
    <row r="12" spans="1:6" x14ac:dyDescent="0.25">
      <c r="A12" s="15" t="s">
        <v>5</v>
      </c>
      <c r="B12" s="16">
        <v>1004</v>
      </c>
      <c r="C12" s="16">
        <v>9</v>
      </c>
      <c r="D12" s="17">
        <v>-191.72</v>
      </c>
      <c r="E12" s="18"/>
      <c r="F12" s="15" t="s">
        <v>31</v>
      </c>
    </row>
    <row r="13" spans="1:6" x14ac:dyDescent="0.25">
      <c r="A13" s="15" t="s">
        <v>5</v>
      </c>
      <c r="B13" s="16">
        <v>1004</v>
      </c>
      <c r="C13" s="16">
        <v>9</v>
      </c>
      <c r="D13" s="17">
        <v>-1132.32</v>
      </c>
      <c r="E13" s="18"/>
      <c r="F13" s="20" t="s">
        <v>33</v>
      </c>
    </row>
    <row r="14" spans="1:6" x14ac:dyDescent="0.25">
      <c r="A14" s="15" t="s">
        <v>5</v>
      </c>
      <c r="B14" s="16">
        <v>1004</v>
      </c>
      <c r="C14" s="16">
        <v>9</v>
      </c>
      <c r="D14" s="17">
        <v>-1031.26</v>
      </c>
      <c r="E14" s="18"/>
      <c r="F14" s="15" t="s">
        <v>33</v>
      </c>
    </row>
    <row r="15" spans="1:6" x14ac:dyDescent="0.25">
      <c r="A15" s="15" t="s">
        <v>5</v>
      </c>
      <c r="B15" s="16">
        <v>1004</v>
      </c>
      <c r="C15" s="16">
        <v>9</v>
      </c>
      <c r="D15" s="17">
        <v>-150</v>
      </c>
      <c r="E15" s="18"/>
      <c r="F15" s="15" t="s">
        <v>34</v>
      </c>
    </row>
    <row r="16" spans="1:6" x14ac:dyDescent="0.25">
      <c r="A16" s="11" t="s">
        <v>5</v>
      </c>
      <c r="B16" s="6"/>
      <c r="C16" s="6"/>
      <c r="D16" s="12">
        <v>555</v>
      </c>
      <c r="E16" s="7"/>
      <c r="F16" s="11" t="s">
        <v>35</v>
      </c>
    </row>
    <row r="17" spans="1:6" x14ac:dyDescent="0.25">
      <c r="A17" s="11" t="s">
        <v>5</v>
      </c>
      <c r="B17" s="6"/>
      <c r="C17" s="6"/>
      <c r="D17" s="12">
        <v>12069.39</v>
      </c>
      <c r="E17" s="7"/>
      <c r="F17" s="11" t="s">
        <v>36</v>
      </c>
    </row>
    <row r="18" spans="1:6" x14ac:dyDescent="0.25">
      <c r="A18" s="11" t="s">
        <v>5</v>
      </c>
      <c r="B18" s="6"/>
      <c r="C18" s="6"/>
      <c r="D18" s="12">
        <v>207.73</v>
      </c>
      <c r="E18" s="7"/>
      <c r="F18" s="11" t="s">
        <v>37</v>
      </c>
    </row>
    <row r="19" spans="1:6" x14ac:dyDescent="0.25">
      <c r="A19" s="11" t="s">
        <v>5</v>
      </c>
      <c r="B19" s="6"/>
      <c r="C19" s="6"/>
      <c r="D19" s="12">
        <v>347.28</v>
      </c>
      <c r="E19" s="7"/>
      <c r="F19" s="11" t="s">
        <v>38</v>
      </c>
    </row>
    <row r="20" spans="1:6" x14ac:dyDescent="0.25">
      <c r="A20" s="11" t="s">
        <v>5</v>
      </c>
      <c r="B20" s="6"/>
      <c r="C20" s="6"/>
      <c r="D20" s="12">
        <v>0.02</v>
      </c>
      <c r="E20" s="7"/>
      <c r="F20" s="11" t="s">
        <v>39</v>
      </c>
    </row>
    <row r="21" spans="1:6" x14ac:dyDescent="0.25">
      <c r="A21" s="11" t="s">
        <v>5</v>
      </c>
      <c r="B21" s="6"/>
      <c r="C21" s="6"/>
      <c r="D21" s="12">
        <v>499.9</v>
      </c>
      <c r="E21" s="7"/>
      <c r="F21" s="11" t="s">
        <v>40</v>
      </c>
    </row>
    <row r="22" spans="1:6" x14ac:dyDescent="0.25">
      <c r="A22" s="11" t="s">
        <v>5</v>
      </c>
      <c r="B22" s="6"/>
      <c r="C22" s="6"/>
      <c r="D22" s="12">
        <v>1499.9</v>
      </c>
      <c r="E22" s="7"/>
      <c r="F22" s="11" t="s">
        <v>41</v>
      </c>
    </row>
    <row r="23" spans="1:6" x14ac:dyDescent="0.25">
      <c r="A23" s="11" t="s">
        <v>5</v>
      </c>
      <c r="B23" s="6"/>
      <c r="C23" s="6"/>
      <c r="D23" s="12">
        <v>96.3</v>
      </c>
      <c r="E23" s="7"/>
      <c r="F23" s="11" t="s">
        <v>42</v>
      </c>
    </row>
    <row r="24" spans="1:6" x14ac:dyDescent="0.25">
      <c r="A24" s="11" t="s">
        <v>5</v>
      </c>
      <c r="B24" s="6"/>
      <c r="C24" s="6"/>
      <c r="D24" s="12">
        <v>365</v>
      </c>
      <c r="E24" s="7"/>
      <c r="F24" s="11" t="s">
        <v>42</v>
      </c>
    </row>
    <row r="25" spans="1:6" x14ac:dyDescent="0.25">
      <c r="A25" s="15" t="s">
        <v>6</v>
      </c>
      <c r="B25" s="16">
        <v>1025</v>
      </c>
      <c r="C25" s="16">
        <v>9</v>
      </c>
      <c r="D25" s="17">
        <v>-9.4499999999999993</v>
      </c>
      <c r="E25" s="18"/>
      <c r="F25" s="15" t="s">
        <v>25</v>
      </c>
    </row>
    <row r="26" spans="1:6" x14ac:dyDescent="0.25">
      <c r="A26" s="15" t="s">
        <v>6</v>
      </c>
      <c r="B26" s="16"/>
      <c r="C26" s="16"/>
      <c r="D26" s="17">
        <v>-43.32</v>
      </c>
      <c r="E26" s="18"/>
      <c r="F26" s="15" t="s">
        <v>43</v>
      </c>
    </row>
    <row r="27" spans="1:6" x14ac:dyDescent="0.25">
      <c r="A27" s="15" t="s">
        <v>6</v>
      </c>
      <c r="B27" s="16"/>
      <c r="C27" s="16"/>
      <c r="D27" s="17">
        <v>-290.89999999999998</v>
      </c>
      <c r="E27" s="18"/>
      <c r="F27" s="15" t="s">
        <v>44</v>
      </c>
    </row>
    <row r="28" spans="1:6" x14ac:dyDescent="0.25">
      <c r="A28" s="15" t="s">
        <v>6</v>
      </c>
      <c r="B28" s="16">
        <v>1004</v>
      </c>
      <c r="C28" s="16">
        <v>9</v>
      </c>
      <c r="D28" s="17">
        <v>-528.63</v>
      </c>
      <c r="E28" s="18"/>
      <c r="F28" s="15" t="s">
        <v>26</v>
      </c>
    </row>
    <row r="29" spans="1:6" x14ac:dyDescent="0.25">
      <c r="A29" s="15" t="s">
        <v>6</v>
      </c>
      <c r="B29" s="16">
        <v>1004</v>
      </c>
      <c r="C29" s="16">
        <v>9</v>
      </c>
      <c r="D29" s="17">
        <v>-1212.2</v>
      </c>
      <c r="E29" s="18"/>
      <c r="F29" s="15" t="s">
        <v>33</v>
      </c>
    </row>
    <row r="30" spans="1:6" x14ac:dyDescent="0.25">
      <c r="A30" s="22" t="s">
        <v>6</v>
      </c>
      <c r="B30" s="23"/>
      <c r="C30" s="23"/>
      <c r="D30" s="24">
        <v>-46.76</v>
      </c>
      <c r="E30" s="25"/>
      <c r="F30" s="22" t="s">
        <v>45</v>
      </c>
    </row>
    <row r="31" spans="1:6" x14ac:dyDescent="0.25">
      <c r="A31" s="15" t="s">
        <v>6</v>
      </c>
      <c r="B31" s="16"/>
      <c r="C31" s="16"/>
      <c r="D31" s="17">
        <v>-1707.85</v>
      </c>
      <c r="E31" s="18"/>
      <c r="F31" s="15" t="s">
        <v>46</v>
      </c>
    </row>
    <row r="32" spans="1:6" x14ac:dyDescent="0.25">
      <c r="A32" s="15" t="s">
        <v>6</v>
      </c>
      <c r="B32" s="16"/>
      <c r="C32" s="16"/>
      <c r="D32" s="17">
        <v>-3800</v>
      </c>
      <c r="E32" s="18"/>
      <c r="F32" s="15" t="s">
        <v>47</v>
      </c>
    </row>
    <row r="33" spans="1:6" x14ac:dyDescent="0.25">
      <c r="A33" s="15" t="s">
        <v>6</v>
      </c>
      <c r="B33" s="16"/>
      <c r="C33" s="16"/>
      <c r="D33" s="17">
        <v>-3131.2</v>
      </c>
      <c r="E33" s="18"/>
      <c r="F33" s="15" t="s">
        <v>48</v>
      </c>
    </row>
    <row r="34" spans="1:6" x14ac:dyDescent="0.25">
      <c r="A34" s="15" t="s">
        <v>6</v>
      </c>
      <c r="B34" s="16">
        <v>1004</v>
      </c>
      <c r="C34" s="16">
        <v>9</v>
      </c>
      <c r="D34" s="17">
        <v>-944.39</v>
      </c>
      <c r="E34" s="18"/>
      <c r="F34" s="15" t="s">
        <v>31</v>
      </c>
    </row>
    <row r="35" spans="1:6" x14ac:dyDescent="0.25">
      <c r="A35" s="15" t="s">
        <v>6</v>
      </c>
      <c r="B35" s="16">
        <v>1004</v>
      </c>
      <c r="C35" s="16">
        <v>9</v>
      </c>
      <c r="D35" s="17">
        <v>-1008.79</v>
      </c>
      <c r="E35" s="18"/>
      <c r="F35" s="15" t="s">
        <v>33</v>
      </c>
    </row>
    <row r="36" spans="1:6" x14ac:dyDescent="0.25">
      <c r="A36" s="15" t="s">
        <v>6</v>
      </c>
      <c r="B36" s="16"/>
      <c r="C36" s="16"/>
      <c r="D36" s="17">
        <v>-1979.88</v>
      </c>
      <c r="E36" s="18"/>
      <c r="F36" s="15" t="s">
        <v>49</v>
      </c>
    </row>
    <row r="37" spans="1:6" x14ac:dyDescent="0.25">
      <c r="A37" s="15" t="s">
        <v>6</v>
      </c>
      <c r="B37" s="16">
        <v>1004</v>
      </c>
      <c r="C37" s="16">
        <v>9</v>
      </c>
      <c r="D37" s="17">
        <v>-652.41</v>
      </c>
      <c r="E37" s="18"/>
      <c r="F37" s="15" t="s">
        <v>26</v>
      </c>
    </row>
    <row r="38" spans="1:6" x14ac:dyDescent="0.25">
      <c r="A38" s="15" t="s">
        <v>6</v>
      </c>
      <c r="B38" s="16"/>
      <c r="C38" s="16"/>
      <c r="D38" s="17">
        <v>-1464.04</v>
      </c>
      <c r="E38" s="18"/>
      <c r="F38" s="15" t="s">
        <v>48</v>
      </c>
    </row>
    <row r="39" spans="1:6" x14ac:dyDescent="0.25">
      <c r="A39" s="15" t="s">
        <v>6</v>
      </c>
      <c r="B39" s="16">
        <v>1004</v>
      </c>
      <c r="C39" s="16">
        <v>9</v>
      </c>
      <c r="D39" s="17">
        <v>-1811.38</v>
      </c>
      <c r="E39" s="18"/>
      <c r="F39" s="15" t="s">
        <v>50</v>
      </c>
    </row>
    <row r="40" spans="1:6" x14ac:dyDescent="0.25">
      <c r="A40" s="11" t="s">
        <v>6</v>
      </c>
      <c r="B40" s="6"/>
      <c r="C40" s="6"/>
      <c r="D40" s="12">
        <v>1690.7</v>
      </c>
      <c r="E40" s="7"/>
      <c r="F40" s="11" t="s">
        <v>51</v>
      </c>
    </row>
    <row r="41" spans="1:6" x14ac:dyDescent="0.25">
      <c r="A41" s="11" t="s">
        <v>6</v>
      </c>
      <c r="B41" s="6"/>
      <c r="C41" s="6"/>
      <c r="D41" s="12">
        <v>2721.35</v>
      </c>
      <c r="E41" s="7"/>
      <c r="F41" s="11" t="s">
        <v>52</v>
      </c>
    </row>
    <row r="42" spans="1:6" x14ac:dyDescent="0.25">
      <c r="A42" s="11" t="s">
        <v>6</v>
      </c>
      <c r="B42" s="6"/>
      <c r="C42" s="6"/>
      <c r="D42" s="12">
        <v>127.68</v>
      </c>
      <c r="E42" s="7"/>
      <c r="F42" s="11" t="s">
        <v>36</v>
      </c>
    </row>
    <row r="43" spans="1:6" x14ac:dyDescent="0.25">
      <c r="A43" s="11" t="s">
        <v>6</v>
      </c>
      <c r="B43" s="6"/>
      <c r="C43" s="6"/>
      <c r="D43" s="12">
        <v>443.69</v>
      </c>
      <c r="E43" s="7"/>
      <c r="F43" s="11" t="s">
        <v>38</v>
      </c>
    </row>
    <row r="44" spans="1:6" x14ac:dyDescent="0.25">
      <c r="A44" s="11" t="s">
        <v>6</v>
      </c>
      <c r="B44" s="6"/>
      <c r="C44" s="6"/>
      <c r="D44" s="12">
        <v>159.28</v>
      </c>
      <c r="E44" s="7"/>
      <c r="F44" s="11" t="s">
        <v>53</v>
      </c>
    </row>
    <row r="45" spans="1:6" x14ac:dyDescent="0.25">
      <c r="A45" s="11" t="s">
        <v>6</v>
      </c>
      <c r="B45" s="6"/>
      <c r="C45" s="6"/>
      <c r="D45" s="12">
        <v>219.9</v>
      </c>
      <c r="E45" s="7"/>
      <c r="F45" s="11" t="s">
        <v>54</v>
      </c>
    </row>
    <row r="46" spans="1:6" x14ac:dyDescent="0.25">
      <c r="A46" s="11" t="s">
        <v>6</v>
      </c>
      <c r="B46" s="6"/>
      <c r="C46" s="6"/>
      <c r="D46" s="12">
        <v>179.8</v>
      </c>
      <c r="E46" s="7"/>
      <c r="F46" s="11" t="s">
        <v>55</v>
      </c>
    </row>
    <row r="47" spans="1:6" x14ac:dyDescent="0.25">
      <c r="A47" s="11" t="s">
        <v>6</v>
      </c>
      <c r="B47" s="6"/>
      <c r="C47" s="6"/>
      <c r="D47" s="12">
        <v>209.8</v>
      </c>
      <c r="E47" s="7"/>
      <c r="F47" s="11" t="s">
        <v>56</v>
      </c>
    </row>
    <row r="48" spans="1:6" x14ac:dyDescent="0.25">
      <c r="A48" s="11" t="s">
        <v>6</v>
      </c>
      <c r="B48" s="6"/>
      <c r="C48" s="6"/>
      <c r="D48" s="12">
        <v>799</v>
      </c>
      <c r="E48" s="7"/>
      <c r="F48" s="11" t="s">
        <v>57</v>
      </c>
    </row>
    <row r="49" spans="1:6" x14ac:dyDescent="0.25">
      <c r="A49" s="11" t="s">
        <v>6</v>
      </c>
      <c r="B49" s="6"/>
      <c r="C49" s="6"/>
      <c r="D49" s="12">
        <v>12080</v>
      </c>
      <c r="E49" s="7"/>
      <c r="F49" s="11" t="s">
        <v>58</v>
      </c>
    </row>
    <row r="50" spans="1:6" x14ac:dyDescent="0.25">
      <c r="A50" s="15" t="s">
        <v>7</v>
      </c>
      <c r="B50" s="16">
        <v>1025</v>
      </c>
      <c r="C50" s="16">
        <v>9</v>
      </c>
      <c r="D50" s="17">
        <v>-9.4499999999999993</v>
      </c>
      <c r="E50" s="18"/>
      <c r="F50" s="15" t="s">
        <v>25</v>
      </c>
    </row>
    <row r="51" spans="1:6" x14ac:dyDescent="0.25">
      <c r="A51" s="15" t="s">
        <v>7</v>
      </c>
      <c r="B51" s="16"/>
      <c r="C51" s="16"/>
      <c r="D51" s="17">
        <v>-24670.7</v>
      </c>
      <c r="E51" s="18"/>
      <c r="F51" s="15" t="s">
        <v>59</v>
      </c>
    </row>
    <row r="52" spans="1:6" x14ac:dyDescent="0.25">
      <c r="A52" s="15" t="s">
        <v>7</v>
      </c>
      <c r="B52" s="16"/>
      <c r="C52" s="16"/>
      <c r="D52" s="17">
        <v>-572</v>
      </c>
      <c r="E52" s="18"/>
      <c r="F52" s="15" t="s">
        <v>60</v>
      </c>
    </row>
    <row r="53" spans="1:6" x14ac:dyDescent="0.25">
      <c r="A53" s="15" t="s">
        <v>7</v>
      </c>
      <c r="B53" s="16">
        <v>1004</v>
      </c>
      <c r="C53" s="16">
        <v>9</v>
      </c>
      <c r="D53" s="17">
        <v>-238.85</v>
      </c>
      <c r="E53" s="18"/>
      <c r="F53" s="15" t="s">
        <v>31</v>
      </c>
    </row>
    <row r="54" spans="1:6" x14ac:dyDescent="0.25">
      <c r="A54" s="15" t="s">
        <v>7</v>
      </c>
      <c r="B54" s="16"/>
      <c r="C54" s="16"/>
      <c r="D54" s="17">
        <v>-635.47</v>
      </c>
      <c r="E54" s="18"/>
      <c r="F54" s="15" t="s">
        <v>61</v>
      </c>
    </row>
    <row r="55" spans="1:6" x14ac:dyDescent="0.25">
      <c r="A55" s="15" t="s">
        <v>7</v>
      </c>
      <c r="B55" s="16">
        <v>1004</v>
      </c>
      <c r="C55" s="16">
        <v>9</v>
      </c>
      <c r="D55" s="17">
        <v>-708.33</v>
      </c>
      <c r="E55" s="18"/>
      <c r="F55" s="20" t="s">
        <v>62</v>
      </c>
    </row>
    <row r="56" spans="1:6" x14ac:dyDescent="0.25">
      <c r="A56" s="15" t="s">
        <v>7</v>
      </c>
      <c r="B56" s="16"/>
      <c r="C56" s="16"/>
      <c r="D56" s="17">
        <v>-2275.69</v>
      </c>
      <c r="E56" s="18"/>
      <c r="F56" s="15" t="s">
        <v>63</v>
      </c>
    </row>
    <row r="57" spans="1:6" x14ac:dyDescent="0.25">
      <c r="A57" s="15" t="s">
        <v>7</v>
      </c>
      <c r="B57" s="16">
        <v>1004</v>
      </c>
      <c r="C57" s="16">
        <v>9</v>
      </c>
      <c r="D57" s="17">
        <v>-1590.58</v>
      </c>
      <c r="E57" s="18"/>
      <c r="F57" s="20" t="s">
        <v>62</v>
      </c>
    </row>
    <row r="58" spans="1:6" x14ac:dyDescent="0.25">
      <c r="A58" s="15" t="s">
        <v>7</v>
      </c>
      <c r="B58" s="16">
        <v>1004</v>
      </c>
      <c r="C58" s="16">
        <v>9</v>
      </c>
      <c r="D58" s="17">
        <v>-1054.29</v>
      </c>
      <c r="E58" s="18"/>
      <c r="F58" s="15" t="s">
        <v>33</v>
      </c>
    </row>
    <row r="59" spans="1:6" x14ac:dyDescent="0.25">
      <c r="A59" s="15" t="s">
        <v>7</v>
      </c>
      <c r="B59" s="16"/>
      <c r="C59" s="16"/>
      <c r="D59" s="17">
        <v>-1062.5999999999999</v>
      </c>
      <c r="E59" s="18"/>
      <c r="F59" s="15" t="s">
        <v>64</v>
      </c>
    </row>
    <row r="60" spans="1:6" x14ac:dyDescent="0.25">
      <c r="A60" s="15" t="s">
        <v>7</v>
      </c>
      <c r="B60" s="16"/>
      <c r="C60" s="16"/>
      <c r="D60" s="17">
        <v>-1227</v>
      </c>
      <c r="E60" s="18"/>
      <c r="F60" s="15" t="s">
        <v>65</v>
      </c>
    </row>
    <row r="61" spans="1:6" x14ac:dyDescent="0.25">
      <c r="A61" s="15" t="s">
        <v>7</v>
      </c>
      <c r="B61" s="16">
        <v>1004</v>
      </c>
      <c r="C61" s="16">
        <v>9</v>
      </c>
      <c r="D61" s="17">
        <v>-655.36</v>
      </c>
      <c r="E61" s="18"/>
      <c r="F61" s="15" t="s">
        <v>66</v>
      </c>
    </row>
    <row r="62" spans="1:6" x14ac:dyDescent="0.25">
      <c r="A62" s="15" t="s">
        <v>7</v>
      </c>
      <c r="B62" s="16"/>
      <c r="C62" s="16"/>
      <c r="D62" s="17">
        <v>-1952.74</v>
      </c>
      <c r="E62" s="18"/>
      <c r="F62" s="15" t="s">
        <v>67</v>
      </c>
    </row>
    <row r="63" spans="1:6" x14ac:dyDescent="0.25">
      <c r="A63" s="15" t="s">
        <v>7</v>
      </c>
      <c r="B63" s="16">
        <v>1004</v>
      </c>
      <c r="C63" s="16">
        <v>9</v>
      </c>
      <c r="D63" s="17">
        <v>-2627.66</v>
      </c>
      <c r="E63" s="18"/>
      <c r="F63" s="15" t="s">
        <v>50</v>
      </c>
    </row>
    <row r="64" spans="1:6" x14ac:dyDescent="0.25">
      <c r="A64" s="15" t="s">
        <v>7</v>
      </c>
      <c r="B64" s="16">
        <v>1004</v>
      </c>
      <c r="C64" s="16">
        <v>9</v>
      </c>
      <c r="D64" s="17">
        <v>-3387.47</v>
      </c>
      <c r="E64" s="18"/>
      <c r="F64" s="20" t="s">
        <v>68</v>
      </c>
    </row>
    <row r="65" spans="1:6" x14ac:dyDescent="0.25">
      <c r="A65" s="15" t="s">
        <v>7</v>
      </c>
      <c r="B65" s="16"/>
      <c r="C65" s="16"/>
      <c r="D65" s="17">
        <v>-1081.98</v>
      </c>
      <c r="E65" s="18"/>
      <c r="F65" s="15" t="s">
        <v>69</v>
      </c>
    </row>
    <row r="66" spans="1:6" x14ac:dyDescent="0.25">
      <c r="A66" s="15" t="s">
        <v>7</v>
      </c>
      <c r="B66" s="16"/>
      <c r="C66" s="16"/>
      <c r="D66" s="17">
        <v>-787</v>
      </c>
      <c r="E66" s="18"/>
      <c r="F66" s="15" t="s">
        <v>70</v>
      </c>
    </row>
    <row r="67" spans="1:6" x14ac:dyDescent="0.25">
      <c r="A67" s="15" t="s">
        <v>7</v>
      </c>
      <c r="B67" s="16"/>
      <c r="C67" s="16"/>
      <c r="D67" s="17">
        <v>-163.47</v>
      </c>
      <c r="E67" s="18"/>
      <c r="F67" s="15" t="s">
        <v>71</v>
      </c>
    </row>
    <row r="68" spans="1:6" x14ac:dyDescent="0.25">
      <c r="A68" s="15" t="s">
        <v>7</v>
      </c>
      <c r="B68" s="16">
        <v>1004</v>
      </c>
      <c r="C68" s="16">
        <v>9</v>
      </c>
      <c r="D68" s="17">
        <v>-808.51</v>
      </c>
      <c r="E68" s="18"/>
      <c r="F68" s="15" t="s">
        <v>28</v>
      </c>
    </row>
    <row r="69" spans="1:6" x14ac:dyDescent="0.25">
      <c r="A69" s="15" t="s">
        <v>7</v>
      </c>
      <c r="B69" s="16"/>
      <c r="C69" s="16"/>
      <c r="D69" s="17">
        <v>-2853.5</v>
      </c>
      <c r="E69" s="18"/>
      <c r="F69" s="15" t="s">
        <v>72</v>
      </c>
    </row>
    <row r="70" spans="1:6" x14ac:dyDescent="0.25">
      <c r="A70" s="15" t="s">
        <v>7</v>
      </c>
      <c r="B70" s="16">
        <v>1004</v>
      </c>
      <c r="C70" s="16">
        <v>9</v>
      </c>
      <c r="D70" s="17">
        <v>-270</v>
      </c>
      <c r="E70" s="18"/>
      <c r="F70" s="15" t="s">
        <v>62</v>
      </c>
    </row>
    <row r="71" spans="1:6" x14ac:dyDescent="0.25">
      <c r="A71" s="15" t="s">
        <v>7</v>
      </c>
      <c r="B71" s="16">
        <v>1004</v>
      </c>
      <c r="C71" s="16">
        <v>9</v>
      </c>
      <c r="D71" s="17">
        <v>-1006.63</v>
      </c>
      <c r="E71" s="18"/>
      <c r="F71" s="15" t="s">
        <v>33</v>
      </c>
    </row>
    <row r="72" spans="1:6" x14ac:dyDescent="0.25">
      <c r="A72" s="15" t="s">
        <v>7</v>
      </c>
      <c r="B72" s="16"/>
      <c r="C72" s="16"/>
      <c r="D72" s="17">
        <v>-660</v>
      </c>
      <c r="E72" s="18"/>
      <c r="F72" s="15" t="s">
        <v>73</v>
      </c>
    </row>
    <row r="73" spans="1:6" x14ac:dyDescent="0.25">
      <c r="A73" s="15" t="s">
        <v>7</v>
      </c>
      <c r="B73" s="16">
        <v>1004</v>
      </c>
      <c r="C73" s="16">
        <v>9</v>
      </c>
      <c r="D73" s="17">
        <v>-489.73</v>
      </c>
      <c r="E73" s="18"/>
      <c r="F73" s="15" t="s">
        <v>45</v>
      </c>
    </row>
    <row r="74" spans="1:6" x14ac:dyDescent="0.25">
      <c r="A74" s="15" t="s">
        <v>7</v>
      </c>
      <c r="B74" s="16">
        <v>1004</v>
      </c>
      <c r="C74" s="16">
        <v>9</v>
      </c>
      <c r="D74" s="17">
        <v>-1043.79</v>
      </c>
      <c r="E74" s="18"/>
      <c r="F74" s="15" t="s">
        <v>33</v>
      </c>
    </row>
    <row r="75" spans="1:6" x14ac:dyDescent="0.25">
      <c r="A75" s="15" t="s">
        <v>7</v>
      </c>
      <c r="B75" s="16"/>
      <c r="C75" s="16"/>
      <c r="D75" s="17">
        <v>-133.75</v>
      </c>
      <c r="E75" s="18"/>
      <c r="F75" s="15" t="s">
        <v>71</v>
      </c>
    </row>
    <row r="76" spans="1:6" x14ac:dyDescent="0.25">
      <c r="A76" s="15" t="s">
        <v>7</v>
      </c>
      <c r="B76" s="16">
        <v>1004</v>
      </c>
      <c r="C76" s="16">
        <v>9</v>
      </c>
      <c r="D76" s="17">
        <v>-973.6</v>
      </c>
      <c r="E76" s="18"/>
      <c r="F76" s="15" t="s">
        <v>68</v>
      </c>
    </row>
    <row r="77" spans="1:6" x14ac:dyDescent="0.25">
      <c r="A77" s="15" t="s">
        <v>7</v>
      </c>
      <c r="B77" s="16"/>
      <c r="C77" s="16"/>
      <c r="D77" s="17">
        <v>-670.52</v>
      </c>
      <c r="E77" s="18"/>
      <c r="F77" s="15" t="s">
        <v>74</v>
      </c>
    </row>
    <row r="78" spans="1:6" x14ac:dyDescent="0.25">
      <c r="A78" s="11" t="s">
        <v>7</v>
      </c>
      <c r="B78" s="6"/>
      <c r="C78" s="6"/>
      <c r="D78" s="12">
        <v>4378.8999999999996</v>
      </c>
      <c r="E78" s="7"/>
      <c r="F78" s="11" t="s">
        <v>75</v>
      </c>
    </row>
    <row r="79" spans="1:6" x14ac:dyDescent="0.25">
      <c r="A79" s="11" t="s">
        <v>7</v>
      </c>
      <c r="B79" s="6"/>
      <c r="C79" s="6"/>
      <c r="D79" s="12">
        <v>4360.8999999999996</v>
      </c>
      <c r="E79" s="7"/>
      <c r="F79" s="11" t="s">
        <v>75</v>
      </c>
    </row>
    <row r="80" spans="1:6" x14ac:dyDescent="0.25">
      <c r="A80" s="11" t="s">
        <v>7</v>
      </c>
      <c r="B80" s="6"/>
      <c r="C80" s="6"/>
      <c r="D80" s="12">
        <v>4245.5</v>
      </c>
      <c r="E80" s="7"/>
      <c r="F80" s="11" t="s">
        <v>75</v>
      </c>
    </row>
    <row r="81" spans="1:6" x14ac:dyDescent="0.25">
      <c r="A81" s="11" t="s">
        <v>7</v>
      </c>
      <c r="B81" s="6"/>
      <c r="C81" s="6"/>
      <c r="D81" s="12">
        <v>11257.8</v>
      </c>
      <c r="E81" s="7"/>
      <c r="F81" s="11" t="s">
        <v>75</v>
      </c>
    </row>
    <row r="82" spans="1:6" x14ac:dyDescent="0.25">
      <c r="A82" s="11" t="s">
        <v>7</v>
      </c>
      <c r="B82" s="6"/>
      <c r="C82" s="6"/>
      <c r="D82" s="12">
        <v>4284.1000000000004</v>
      </c>
      <c r="E82" s="7"/>
      <c r="F82" s="11" t="s">
        <v>75</v>
      </c>
    </row>
    <row r="83" spans="1:6" x14ac:dyDescent="0.25">
      <c r="A83" s="11" t="s">
        <v>7</v>
      </c>
      <c r="B83" s="6"/>
      <c r="C83" s="6"/>
      <c r="D83" s="12">
        <v>4248.8999999999996</v>
      </c>
      <c r="E83" s="7"/>
      <c r="F83" s="11" t="s">
        <v>75</v>
      </c>
    </row>
    <row r="84" spans="1:6" x14ac:dyDescent="0.25">
      <c r="A84" s="11" t="s">
        <v>7</v>
      </c>
      <c r="B84" s="6"/>
      <c r="C84" s="6"/>
      <c r="D84" s="12">
        <v>4434.8999999999996</v>
      </c>
      <c r="E84" s="7"/>
      <c r="F84" s="11" t="s">
        <v>75</v>
      </c>
    </row>
    <row r="85" spans="1:6" x14ac:dyDescent="0.25">
      <c r="A85" s="11" t="s">
        <v>7</v>
      </c>
      <c r="B85" s="6"/>
      <c r="C85" s="6"/>
      <c r="D85" s="12">
        <v>4239.8</v>
      </c>
      <c r="E85" s="7"/>
      <c r="F85" s="11" t="s">
        <v>75</v>
      </c>
    </row>
    <row r="86" spans="1:6" x14ac:dyDescent="0.25">
      <c r="A86" s="11" t="s">
        <v>7</v>
      </c>
      <c r="B86" s="6"/>
      <c r="C86" s="6"/>
      <c r="D86" s="12">
        <v>5911.44</v>
      </c>
      <c r="E86" s="7"/>
      <c r="F86" s="11" t="s">
        <v>76</v>
      </c>
    </row>
    <row r="87" spans="1:6" x14ac:dyDescent="0.25">
      <c r="A87" s="11" t="s">
        <v>7</v>
      </c>
      <c r="B87" s="6"/>
      <c r="C87" s="6"/>
      <c r="D87" s="12">
        <v>249.96</v>
      </c>
      <c r="E87" s="7"/>
      <c r="F87" s="11" t="s">
        <v>37</v>
      </c>
    </row>
    <row r="88" spans="1:6" x14ac:dyDescent="0.25">
      <c r="A88" s="11" t="s">
        <v>7</v>
      </c>
      <c r="B88" s="6"/>
      <c r="C88" s="6"/>
      <c r="D88" s="12">
        <v>36.18</v>
      </c>
      <c r="E88" s="7"/>
      <c r="F88" s="11" t="s">
        <v>38</v>
      </c>
    </row>
    <row r="89" spans="1:6" x14ac:dyDescent="0.25">
      <c r="A89" s="11" t="s">
        <v>7</v>
      </c>
      <c r="B89" s="6"/>
      <c r="C89" s="6"/>
      <c r="D89" s="12">
        <v>138.79</v>
      </c>
      <c r="E89" s="7"/>
      <c r="F89" s="11" t="s">
        <v>77</v>
      </c>
    </row>
    <row r="90" spans="1:6" x14ac:dyDescent="0.25">
      <c r="A90" s="11" t="s">
        <v>7</v>
      </c>
      <c r="B90" s="6"/>
      <c r="C90" s="6"/>
      <c r="D90" s="12">
        <v>77.900000000000006</v>
      </c>
      <c r="E90" s="7"/>
      <c r="F90" s="11" t="s">
        <v>78</v>
      </c>
    </row>
    <row r="91" spans="1:6" x14ac:dyDescent="0.25">
      <c r="A91" s="11" t="s">
        <v>7</v>
      </c>
      <c r="B91" s="6"/>
      <c r="C91" s="6"/>
      <c r="D91" s="12">
        <v>11.8</v>
      </c>
      <c r="E91" s="7"/>
      <c r="F91" s="11" t="s">
        <v>79</v>
      </c>
    </row>
    <row r="92" spans="1:6" x14ac:dyDescent="0.25">
      <c r="A92" s="11" t="s">
        <v>7</v>
      </c>
      <c r="B92" s="6"/>
      <c r="C92" s="6"/>
      <c r="D92" s="12">
        <v>633.79999999999995</v>
      </c>
      <c r="E92" s="7"/>
      <c r="F92" s="11" t="s">
        <v>80</v>
      </c>
    </row>
    <row r="93" spans="1:6" x14ac:dyDescent="0.25">
      <c r="A93" s="11" t="s">
        <v>7</v>
      </c>
      <c r="B93" s="6"/>
      <c r="C93" s="6"/>
      <c r="D93" s="12">
        <v>5100</v>
      </c>
      <c r="E93" s="7"/>
      <c r="F93" s="11" t="s">
        <v>81</v>
      </c>
    </row>
    <row r="94" spans="1:6" x14ac:dyDescent="0.25">
      <c r="A94" s="15" t="s">
        <v>8</v>
      </c>
      <c r="B94" s="16">
        <v>1025</v>
      </c>
      <c r="C94" s="16">
        <v>9</v>
      </c>
      <c r="D94" s="17">
        <v>-24.57</v>
      </c>
      <c r="E94" s="18"/>
      <c r="F94" s="15" t="s">
        <v>25</v>
      </c>
    </row>
    <row r="95" spans="1:6" x14ac:dyDescent="0.25">
      <c r="A95" s="15" t="s">
        <v>8</v>
      </c>
      <c r="B95" s="16"/>
      <c r="C95" s="16"/>
      <c r="D95" s="17">
        <v>-2080</v>
      </c>
      <c r="E95" s="18"/>
      <c r="F95" s="15" t="s">
        <v>60</v>
      </c>
    </row>
    <row r="96" spans="1:6" x14ac:dyDescent="0.25">
      <c r="A96" s="15" t="s">
        <v>8</v>
      </c>
      <c r="B96" s="16">
        <v>1004</v>
      </c>
      <c r="C96" s="16">
        <v>9</v>
      </c>
      <c r="D96" s="17">
        <v>-213.43</v>
      </c>
      <c r="E96" s="18"/>
      <c r="F96" s="15" t="s">
        <v>62</v>
      </c>
    </row>
    <row r="97" spans="1:6" x14ac:dyDescent="0.25">
      <c r="A97" s="15" t="s">
        <v>8</v>
      </c>
      <c r="B97" s="16"/>
      <c r="C97" s="16"/>
      <c r="D97" s="17">
        <v>-3062.68</v>
      </c>
      <c r="E97" s="18"/>
      <c r="F97" s="15" t="s">
        <v>82</v>
      </c>
    </row>
    <row r="98" spans="1:6" x14ac:dyDescent="0.25">
      <c r="A98" s="15" t="s">
        <v>8</v>
      </c>
      <c r="B98" s="16"/>
      <c r="C98" s="16"/>
      <c r="D98" s="17">
        <v>-1624.69</v>
      </c>
      <c r="E98" s="18"/>
      <c r="F98" s="15" t="s">
        <v>83</v>
      </c>
    </row>
    <row r="99" spans="1:6" x14ac:dyDescent="0.25">
      <c r="A99" s="15" t="s">
        <v>8</v>
      </c>
      <c r="B99" s="16">
        <v>1004</v>
      </c>
      <c r="C99" s="16">
        <v>9</v>
      </c>
      <c r="D99" s="17">
        <v>-4105.7299999999996</v>
      </c>
      <c r="E99" s="18"/>
      <c r="F99" s="15" t="s">
        <v>68</v>
      </c>
    </row>
    <row r="100" spans="1:6" x14ac:dyDescent="0.25">
      <c r="A100" s="15" t="s">
        <v>8</v>
      </c>
      <c r="B100" s="16">
        <v>1004</v>
      </c>
      <c r="C100" s="16">
        <v>9</v>
      </c>
      <c r="D100" s="17">
        <v>-1229.52</v>
      </c>
      <c r="E100" s="18"/>
      <c r="F100" s="15" t="s">
        <v>33</v>
      </c>
    </row>
    <row r="101" spans="1:6" x14ac:dyDescent="0.25">
      <c r="A101" s="15" t="s">
        <v>8</v>
      </c>
      <c r="B101" s="16"/>
      <c r="C101" s="16"/>
      <c r="D101" s="17">
        <v>-114.84</v>
      </c>
      <c r="E101" s="18"/>
      <c r="F101" s="15" t="s">
        <v>71</v>
      </c>
    </row>
    <row r="102" spans="1:6" x14ac:dyDescent="0.25">
      <c r="A102" s="15" t="s">
        <v>8</v>
      </c>
      <c r="B102" s="16"/>
      <c r="C102" s="16"/>
      <c r="D102" s="17">
        <v>-1350.58</v>
      </c>
      <c r="E102" s="18"/>
      <c r="F102" s="15" t="s">
        <v>84</v>
      </c>
    </row>
    <row r="103" spans="1:6" x14ac:dyDescent="0.25">
      <c r="A103" s="15" t="s">
        <v>8</v>
      </c>
      <c r="B103" s="16">
        <v>1004</v>
      </c>
      <c r="C103" s="16">
        <v>9</v>
      </c>
      <c r="D103" s="17">
        <v>-964.48</v>
      </c>
      <c r="E103" s="18"/>
      <c r="F103" s="15" t="s">
        <v>26</v>
      </c>
    </row>
    <row r="104" spans="1:6" x14ac:dyDescent="0.25">
      <c r="A104" s="11" t="s">
        <v>8</v>
      </c>
      <c r="B104" s="6"/>
      <c r="C104" s="6"/>
      <c r="D104" s="12">
        <v>3762.91</v>
      </c>
      <c r="E104" s="7"/>
      <c r="F104" s="11" t="s">
        <v>85</v>
      </c>
    </row>
    <row r="105" spans="1:6" x14ac:dyDescent="0.25">
      <c r="A105" s="11" t="s">
        <v>8</v>
      </c>
      <c r="B105" s="6"/>
      <c r="C105" s="6"/>
      <c r="D105" s="12">
        <v>10874.92</v>
      </c>
      <c r="E105" s="7"/>
      <c r="F105" s="11" t="s">
        <v>36</v>
      </c>
    </row>
    <row r="106" spans="1:6" x14ac:dyDescent="0.25">
      <c r="A106" s="11" t="s">
        <v>8</v>
      </c>
      <c r="B106" s="6"/>
      <c r="C106" s="6"/>
      <c r="D106" s="12">
        <v>1565.35</v>
      </c>
      <c r="E106" s="7"/>
      <c r="F106" s="11" t="s">
        <v>37</v>
      </c>
    </row>
    <row r="107" spans="1:6" x14ac:dyDescent="0.25">
      <c r="A107" s="11" t="s">
        <v>8</v>
      </c>
      <c r="B107" s="6"/>
      <c r="C107" s="6"/>
      <c r="D107" s="12">
        <v>7.0000000000000007E-2</v>
      </c>
      <c r="E107" s="7"/>
      <c r="F107" s="11" t="s">
        <v>39</v>
      </c>
    </row>
    <row r="108" spans="1:6" x14ac:dyDescent="0.25">
      <c r="A108" s="11" t="s">
        <v>8</v>
      </c>
      <c r="B108" s="6"/>
      <c r="C108" s="6"/>
      <c r="D108" s="12">
        <v>266.89</v>
      </c>
      <c r="E108" s="7"/>
      <c r="F108" s="11" t="s">
        <v>86</v>
      </c>
    </row>
    <row r="109" spans="1:6" x14ac:dyDescent="0.25">
      <c r="A109" s="11" t="s">
        <v>8</v>
      </c>
      <c r="B109" s="6"/>
      <c r="C109" s="6"/>
      <c r="D109" s="12">
        <v>449.7</v>
      </c>
      <c r="E109" s="7"/>
      <c r="F109" s="11" t="s">
        <v>87</v>
      </c>
    </row>
    <row r="110" spans="1:6" x14ac:dyDescent="0.25">
      <c r="A110" s="15" t="s">
        <v>8</v>
      </c>
      <c r="B110" s="16"/>
      <c r="C110" s="16"/>
      <c r="D110" s="17">
        <v>-2149.3200000000002</v>
      </c>
      <c r="E110" s="18"/>
      <c r="F110" s="15" t="s">
        <v>88</v>
      </c>
    </row>
    <row r="111" spans="1:6" x14ac:dyDescent="0.25">
      <c r="A111" s="15" t="s">
        <v>9</v>
      </c>
      <c r="B111" s="16"/>
      <c r="C111" s="16"/>
      <c r="D111" s="17">
        <v>-1343.66</v>
      </c>
      <c r="E111" s="18"/>
      <c r="F111" s="15" t="s">
        <v>89</v>
      </c>
    </row>
    <row r="112" spans="1:6" x14ac:dyDescent="0.25">
      <c r="A112" s="15" t="s">
        <v>9</v>
      </c>
      <c r="B112" s="16">
        <v>1025</v>
      </c>
      <c r="C112" s="16">
        <v>9</v>
      </c>
      <c r="D112" s="17">
        <v>-5.67</v>
      </c>
      <c r="E112" s="18"/>
      <c r="F112" s="15" t="s">
        <v>25</v>
      </c>
    </row>
    <row r="113" spans="1:6" x14ac:dyDescent="0.25">
      <c r="A113" s="15" t="s">
        <v>9</v>
      </c>
      <c r="B113" s="16">
        <v>1004</v>
      </c>
      <c r="C113" s="16">
        <v>9</v>
      </c>
      <c r="D113" s="17">
        <v>-1461.73</v>
      </c>
      <c r="E113" s="18"/>
      <c r="F113" s="15" t="s">
        <v>33</v>
      </c>
    </row>
    <row r="114" spans="1:6" x14ac:dyDescent="0.25">
      <c r="A114" s="15" t="s">
        <v>9</v>
      </c>
      <c r="B114" s="16"/>
      <c r="C114" s="16"/>
      <c r="D114" s="17">
        <v>-1142.73</v>
      </c>
      <c r="E114" s="18"/>
      <c r="F114" s="15" t="s">
        <v>90</v>
      </c>
    </row>
    <row r="115" spans="1:6" x14ac:dyDescent="0.25">
      <c r="A115" s="15" t="s">
        <v>9</v>
      </c>
      <c r="B115" s="16"/>
      <c r="C115" s="16"/>
      <c r="D115" s="17">
        <v>-372.73</v>
      </c>
      <c r="E115" s="18"/>
      <c r="F115" s="15" t="s">
        <v>91</v>
      </c>
    </row>
    <row r="116" spans="1:6" x14ac:dyDescent="0.25">
      <c r="A116" s="15" t="s">
        <v>9</v>
      </c>
      <c r="B116" s="16">
        <v>1004</v>
      </c>
      <c r="C116" s="16">
        <v>9</v>
      </c>
      <c r="D116" s="17">
        <v>-785.65</v>
      </c>
      <c r="E116" s="18"/>
      <c r="F116" s="15" t="s">
        <v>28</v>
      </c>
    </row>
    <row r="117" spans="1:6" x14ac:dyDescent="0.25">
      <c r="A117" s="15" t="s">
        <v>9</v>
      </c>
      <c r="B117" s="16">
        <v>1004</v>
      </c>
      <c r="C117" s="16">
        <v>9</v>
      </c>
      <c r="D117" s="17">
        <v>-633.6</v>
      </c>
      <c r="E117" s="18"/>
      <c r="F117" s="15" t="s">
        <v>26</v>
      </c>
    </row>
    <row r="118" spans="1:6" x14ac:dyDescent="0.25">
      <c r="A118" s="15" t="s">
        <v>9</v>
      </c>
      <c r="B118" s="16"/>
      <c r="C118" s="16"/>
      <c r="D118" s="17">
        <v>-1455</v>
      </c>
      <c r="E118" s="18"/>
      <c r="F118" s="15" t="s">
        <v>92</v>
      </c>
    </row>
    <row r="119" spans="1:6" x14ac:dyDescent="0.25">
      <c r="A119" s="15" t="s">
        <v>9</v>
      </c>
      <c r="B119" s="16">
        <v>1004</v>
      </c>
      <c r="C119" s="16">
        <v>9</v>
      </c>
      <c r="D119" s="17">
        <v>-1132.32</v>
      </c>
      <c r="E119" s="18"/>
      <c r="F119" s="15" t="s">
        <v>33</v>
      </c>
    </row>
    <row r="120" spans="1:6" x14ac:dyDescent="0.25">
      <c r="A120" s="15" t="s">
        <v>9</v>
      </c>
      <c r="B120" s="16"/>
      <c r="C120" s="16"/>
      <c r="D120" s="17">
        <v>-2741.85</v>
      </c>
      <c r="E120" s="18"/>
      <c r="F120" s="15" t="s">
        <v>69</v>
      </c>
    </row>
    <row r="121" spans="1:6" x14ac:dyDescent="0.25">
      <c r="A121" s="15" t="s">
        <v>9</v>
      </c>
      <c r="B121" s="16">
        <v>1004</v>
      </c>
      <c r="C121" s="16">
        <v>9</v>
      </c>
      <c r="D121" s="17">
        <v>-914.7</v>
      </c>
      <c r="E121" s="18"/>
      <c r="F121" s="15" t="s">
        <v>26</v>
      </c>
    </row>
    <row r="122" spans="1:6" x14ac:dyDescent="0.25">
      <c r="A122" s="15" t="s">
        <v>9</v>
      </c>
      <c r="B122" s="16">
        <v>1004</v>
      </c>
      <c r="C122" s="16">
        <v>9</v>
      </c>
      <c r="D122" s="17">
        <v>-756.06</v>
      </c>
      <c r="E122" s="18"/>
      <c r="F122" s="15" t="s">
        <v>26</v>
      </c>
    </row>
    <row r="123" spans="1:6" x14ac:dyDescent="0.25">
      <c r="A123" s="15" t="s">
        <v>9</v>
      </c>
      <c r="B123" s="16"/>
      <c r="C123" s="16"/>
      <c r="D123" s="17">
        <v>-1223.92</v>
      </c>
      <c r="E123" s="18"/>
      <c r="F123" s="15" t="s">
        <v>93</v>
      </c>
    </row>
    <row r="124" spans="1:6" x14ac:dyDescent="0.25">
      <c r="A124" s="15" t="s">
        <v>9</v>
      </c>
      <c r="B124" s="16">
        <v>1004</v>
      </c>
      <c r="C124" s="16">
        <v>9</v>
      </c>
      <c r="D124" s="17">
        <v>-514.44000000000005</v>
      </c>
      <c r="E124" s="18"/>
      <c r="F124" s="15" t="s">
        <v>30</v>
      </c>
    </row>
    <row r="125" spans="1:6" x14ac:dyDescent="0.25">
      <c r="A125" s="15" t="s">
        <v>9</v>
      </c>
      <c r="B125" s="16">
        <v>1004</v>
      </c>
      <c r="C125" s="16">
        <v>9</v>
      </c>
      <c r="D125" s="17">
        <v>-380.7</v>
      </c>
      <c r="E125" s="18"/>
      <c r="F125" s="15" t="s">
        <v>26</v>
      </c>
    </row>
    <row r="126" spans="1:6" x14ac:dyDescent="0.25">
      <c r="A126" s="11" t="s">
        <v>9</v>
      </c>
      <c r="B126" s="6"/>
      <c r="C126" s="6"/>
      <c r="D126" s="12">
        <v>2015.8</v>
      </c>
      <c r="E126" s="7"/>
      <c r="F126" s="11" t="s">
        <v>94</v>
      </c>
    </row>
    <row r="127" spans="1:6" x14ac:dyDescent="0.25">
      <c r="A127" s="11" t="s">
        <v>9</v>
      </c>
      <c r="B127" s="6"/>
      <c r="C127" s="6"/>
      <c r="D127" s="12">
        <v>12081.35</v>
      </c>
      <c r="E127" s="7"/>
      <c r="F127" s="11" t="s">
        <v>36</v>
      </c>
    </row>
    <row r="128" spans="1:6" x14ac:dyDescent="0.25">
      <c r="A128" s="11" t="s">
        <v>9</v>
      </c>
      <c r="B128" s="6"/>
      <c r="C128" s="6"/>
      <c r="D128" s="12">
        <v>291.19</v>
      </c>
      <c r="E128" s="7"/>
      <c r="F128" s="11" t="s">
        <v>37</v>
      </c>
    </row>
    <row r="129" spans="1:6" x14ac:dyDescent="0.25">
      <c r="A129" s="11" t="s">
        <v>9</v>
      </c>
      <c r="B129" s="6"/>
      <c r="C129" s="6"/>
      <c r="D129" s="12">
        <v>0.02</v>
      </c>
      <c r="E129" s="7"/>
      <c r="F129" s="11" t="s">
        <v>39</v>
      </c>
    </row>
    <row r="130" spans="1:6" x14ac:dyDescent="0.25">
      <c r="A130" s="11" t="s">
        <v>9</v>
      </c>
      <c r="B130" s="6"/>
      <c r="C130" s="6"/>
      <c r="D130" s="12">
        <v>89.9</v>
      </c>
      <c r="E130" s="7"/>
      <c r="F130" s="11" t="s">
        <v>95</v>
      </c>
    </row>
    <row r="131" spans="1:6" x14ac:dyDescent="0.25">
      <c r="A131" s="11" t="s">
        <v>9</v>
      </c>
      <c r="B131" s="6"/>
      <c r="C131" s="6"/>
      <c r="D131" s="12">
        <v>56</v>
      </c>
      <c r="E131" s="7"/>
      <c r="F131" s="11" t="s">
        <v>96</v>
      </c>
    </row>
    <row r="132" spans="1:6" x14ac:dyDescent="0.25">
      <c r="A132" s="11" t="s">
        <v>9</v>
      </c>
      <c r="B132" s="6"/>
      <c r="C132" s="6"/>
      <c r="D132" s="12">
        <v>34</v>
      </c>
      <c r="E132" s="7"/>
      <c r="F132" s="11" t="s">
        <v>97</v>
      </c>
    </row>
    <row r="133" spans="1:6" x14ac:dyDescent="0.25">
      <c r="A133" s="11" t="s">
        <v>9</v>
      </c>
      <c r="B133" s="6"/>
      <c r="C133" s="6"/>
      <c r="D133" s="12">
        <v>296.5</v>
      </c>
      <c r="E133" s="7"/>
      <c r="F133" s="11" t="s">
        <v>98</v>
      </c>
    </row>
    <row r="134" spans="1:6" x14ac:dyDescent="0.25">
      <c r="A134" s="15" t="s">
        <v>10</v>
      </c>
      <c r="B134" s="16"/>
      <c r="C134" s="16"/>
      <c r="D134" s="17">
        <v>-473.01</v>
      </c>
      <c r="E134" s="18"/>
      <c r="F134" s="15" t="s">
        <v>99</v>
      </c>
    </row>
    <row r="135" spans="1:6" x14ac:dyDescent="0.25">
      <c r="A135" s="15" t="s">
        <v>10</v>
      </c>
      <c r="B135" s="16">
        <v>1025</v>
      </c>
      <c r="C135" s="16">
        <v>9</v>
      </c>
      <c r="D135" s="17">
        <v>-5.67</v>
      </c>
      <c r="E135" s="18"/>
      <c r="F135" s="15" t="s">
        <v>25</v>
      </c>
    </row>
    <row r="136" spans="1:6" x14ac:dyDescent="0.25">
      <c r="A136" s="15" t="s">
        <v>10</v>
      </c>
      <c r="B136" s="16"/>
      <c r="C136" s="16"/>
      <c r="D136" s="17">
        <v>-1007.98</v>
      </c>
      <c r="E136" s="18"/>
      <c r="F136" s="15" t="s">
        <v>59</v>
      </c>
    </row>
    <row r="137" spans="1:6" x14ac:dyDescent="0.25">
      <c r="A137" s="15" t="s">
        <v>10</v>
      </c>
      <c r="B137" s="16">
        <v>1004</v>
      </c>
      <c r="C137" s="16">
        <v>9</v>
      </c>
      <c r="D137" s="17">
        <v>-266.70999999999998</v>
      </c>
      <c r="E137" s="18"/>
      <c r="F137" s="15" t="s">
        <v>31</v>
      </c>
    </row>
    <row r="138" spans="1:6" x14ac:dyDescent="0.25">
      <c r="A138" s="15" t="s">
        <v>10</v>
      </c>
      <c r="B138" s="16">
        <v>1004</v>
      </c>
      <c r="C138" s="16">
        <v>9</v>
      </c>
      <c r="D138" s="17">
        <v>-527.34</v>
      </c>
      <c r="E138" s="18"/>
      <c r="F138" s="15" t="s">
        <v>28</v>
      </c>
    </row>
    <row r="139" spans="1:6" x14ac:dyDescent="0.25">
      <c r="A139" s="15" t="s">
        <v>10</v>
      </c>
      <c r="B139" s="16">
        <v>1004</v>
      </c>
      <c r="C139" s="16">
        <v>9</v>
      </c>
      <c r="D139" s="17">
        <v>-4004.16</v>
      </c>
      <c r="E139" s="18"/>
      <c r="F139" s="15" t="s">
        <v>68</v>
      </c>
    </row>
    <row r="140" spans="1:6" x14ac:dyDescent="0.25">
      <c r="A140" s="15" t="s">
        <v>10</v>
      </c>
      <c r="B140" s="16">
        <v>1004</v>
      </c>
      <c r="C140" s="16">
        <v>9</v>
      </c>
      <c r="D140" s="17">
        <v>-350</v>
      </c>
      <c r="E140" s="18"/>
      <c r="F140" s="15" t="s">
        <v>62</v>
      </c>
    </row>
    <row r="141" spans="1:6" x14ac:dyDescent="0.25">
      <c r="A141" s="15" t="s">
        <v>10</v>
      </c>
      <c r="B141" s="16">
        <v>1004</v>
      </c>
      <c r="C141" s="16">
        <v>9</v>
      </c>
      <c r="D141" s="17">
        <v>-297.49</v>
      </c>
      <c r="E141" s="18"/>
      <c r="F141" s="15" t="s">
        <v>62</v>
      </c>
    </row>
    <row r="142" spans="1:6" x14ac:dyDescent="0.25">
      <c r="A142" s="15" t="s">
        <v>10</v>
      </c>
      <c r="B142" s="16">
        <v>1004</v>
      </c>
      <c r="C142" s="16">
        <v>9</v>
      </c>
      <c r="D142" s="17">
        <v>-1298.27</v>
      </c>
      <c r="E142" s="18"/>
      <c r="F142" s="15" t="s">
        <v>28</v>
      </c>
    </row>
    <row r="143" spans="1:6" x14ac:dyDescent="0.25">
      <c r="A143" s="15" t="s">
        <v>10</v>
      </c>
      <c r="B143" s="16">
        <v>1004</v>
      </c>
      <c r="C143" s="16">
        <v>9</v>
      </c>
      <c r="D143" s="17">
        <v>-328.99</v>
      </c>
      <c r="E143" s="18"/>
      <c r="F143" s="15" t="s">
        <v>62</v>
      </c>
    </row>
    <row r="144" spans="1:6" x14ac:dyDescent="0.25">
      <c r="A144" s="15" t="s">
        <v>10</v>
      </c>
      <c r="B144" s="16"/>
      <c r="C144" s="16"/>
      <c r="D144" s="17">
        <v>-2938.67</v>
      </c>
      <c r="E144" s="18"/>
      <c r="F144" s="15" t="s">
        <v>100</v>
      </c>
    </row>
    <row r="145" spans="1:6" x14ac:dyDescent="0.25">
      <c r="A145" s="15" t="s">
        <v>10</v>
      </c>
      <c r="B145" s="16">
        <v>1004</v>
      </c>
      <c r="C145" s="16">
        <v>9</v>
      </c>
      <c r="D145" s="17">
        <v>-1831.42</v>
      </c>
      <c r="E145" s="18"/>
      <c r="F145" s="15" t="s">
        <v>31</v>
      </c>
    </row>
    <row r="146" spans="1:6" x14ac:dyDescent="0.25">
      <c r="A146" s="15" t="s">
        <v>10</v>
      </c>
      <c r="B146" s="16"/>
      <c r="C146" s="16"/>
      <c r="D146" s="17">
        <v>-3592.43</v>
      </c>
      <c r="E146" s="18"/>
      <c r="F146" s="15" t="s">
        <v>101</v>
      </c>
    </row>
    <row r="147" spans="1:6" x14ac:dyDescent="0.25">
      <c r="A147" s="15" t="s">
        <v>10</v>
      </c>
      <c r="B147" s="16">
        <v>1004</v>
      </c>
      <c r="C147" s="16">
        <v>9</v>
      </c>
      <c r="D147" s="17">
        <v>-590.34</v>
      </c>
      <c r="E147" s="18"/>
      <c r="F147" s="15" t="s">
        <v>62</v>
      </c>
    </row>
    <row r="148" spans="1:6" x14ac:dyDescent="0.25">
      <c r="A148" s="11" t="s">
        <v>10</v>
      </c>
      <c r="B148" s="6"/>
      <c r="C148" s="6"/>
      <c r="D148" s="12">
        <v>1156</v>
      </c>
      <c r="E148" s="7"/>
      <c r="F148" s="11" t="s">
        <v>51</v>
      </c>
    </row>
    <row r="149" spans="1:6" x14ac:dyDescent="0.25">
      <c r="A149" s="11" t="s">
        <v>10</v>
      </c>
      <c r="B149" s="6"/>
      <c r="C149" s="6"/>
      <c r="D149" s="12">
        <v>6876.48</v>
      </c>
      <c r="E149" s="7"/>
      <c r="F149" s="11" t="s">
        <v>102</v>
      </c>
    </row>
    <row r="150" spans="1:6" x14ac:dyDescent="0.25">
      <c r="A150" s="11" t="s">
        <v>10</v>
      </c>
      <c r="B150" s="6"/>
      <c r="C150" s="6"/>
      <c r="D150" s="12">
        <v>9000</v>
      </c>
      <c r="E150" s="7"/>
      <c r="F150" s="11" t="s">
        <v>103</v>
      </c>
    </row>
    <row r="151" spans="1:6" x14ac:dyDescent="0.25">
      <c r="A151" s="11" t="s">
        <v>10</v>
      </c>
      <c r="B151" s="6"/>
      <c r="C151" s="6"/>
      <c r="D151" s="12">
        <v>480</v>
      </c>
      <c r="E151" s="7"/>
      <c r="F151" s="11" t="s">
        <v>104</v>
      </c>
    </row>
    <row r="152" spans="1:6" x14ac:dyDescent="0.25">
      <c r="A152" s="15" t="s">
        <v>11</v>
      </c>
      <c r="B152" s="16">
        <v>1025</v>
      </c>
      <c r="C152" s="16">
        <v>9</v>
      </c>
      <c r="D152" s="17">
        <v>-9.4499999999999993</v>
      </c>
      <c r="E152" s="18"/>
      <c r="F152" s="15" t="s">
        <v>25</v>
      </c>
    </row>
    <row r="153" spans="1:6" x14ac:dyDescent="0.25">
      <c r="A153" s="15" t="s">
        <v>11</v>
      </c>
      <c r="B153" s="16"/>
      <c r="C153" s="16"/>
      <c r="D153" s="17">
        <v>-3099.25</v>
      </c>
      <c r="E153" s="18"/>
      <c r="F153" s="15" t="s">
        <v>59</v>
      </c>
    </row>
    <row r="154" spans="1:6" x14ac:dyDescent="0.25">
      <c r="A154" s="15" t="s">
        <v>11</v>
      </c>
      <c r="B154" s="16"/>
      <c r="C154" s="16"/>
      <c r="D154" s="17">
        <v>-1016</v>
      </c>
      <c r="E154" s="18"/>
      <c r="F154" s="15" t="s">
        <v>60</v>
      </c>
    </row>
    <row r="155" spans="1:6" x14ac:dyDescent="0.25">
      <c r="A155" s="15" t="s">
        <v>11</v>
      </c>
      <c r="B155" s="16">
        <v>1004</v>
      </c>
      <c r="C155" s="16">
        <v>9</v>
      </c>
      <c r="D155" s="17">
        <v>-1378.74</v>
      </c>
      <c r="E155" s="18"/>
      <c r="F155" s="15" t="s">
        <v>33</v>
      </c>
    </row>
    <row r="156" spans="1:6" x14ac:dyDescent="0.25">
      <c r="A156" s="15" t="s">
        <v>11</v>
      </c>
      <c r="B156" s="16">
        <v>1004</v>
      </c>
      <c r="C156" s="16">
        <v>9</v>
      </c>
      <c r="D156" s="17">
        <v>-785.26</v>
      </c>
      <c r="E156" s="18"/>
      <c r="F156" s="15" t="s">
        <v>28</v>
      </c>
    </row>
    <row r="157" spans="1:6" x14ac:dyDescent="0.25">
      <c r="A157" s="15" t="s">
        <v>11</v>
      </c>
      <c r="B157" s="16">
        <v>1004</v>
      </c>
      <c r="C157" s="16">
        <v>9</v>
      </c>
      <c r="D157" s="17">
        <v>-1229.26</v>
      </c>
      <c r="E157" s="18"/>
      <c r="F157" s="15" t="s">
        <v>33</v>
      </c>
    </row>
    <row r="158" spans="1:6" x14ac:dyDescent="0.25">
      <c r="A158" s="15" t="s">
        <v>11</v>
      </c>
      <c r="B158" s="16"/>
      <c r="C158" s="16"/>
      <c r="D158" s="17">
        <v>-500</v>
      </c>
      <c r="E158" s="18"/>
      <c r="F158" s="15" t="s">
        <v>105</v>
      </c>
    </row>
    <row r="159" spans="1:6" x14ac:dyDescent="0.25">
      <c r="A159" s="15" t="s">
        <v>11</v>
      </c>
      <c r="B159" s="16">
        <v>1004</v>
      </c>
      <c r="C159" s="16">
        <v>9</v>
      </c>
      <c r="D159" s="17">
        <v>-1054.29</v>
      </c>
      <c r="E159" s="18"/>
      <c r="F159" s="15" t="s">
        <v>33</v>
      </c>
    </row>
    <row r="160" spans="1:6" x14ac:dyDescent="0.25">
      <c r="A160" s="15" t="s">
        <v>11</v>
      </c>
      <c r="B160" s="16">
        <v>1004</v>
      </c>
      <c r="C160" s="16">
        <v>9</v>
      </c>
      <c r="D160" s="17">
        <v>-3563.45</v>
      </c>
      <c r="E160" s="18"/>
      <c r="F160" s="15" t="s">
        <v>68</v>
      </c>
    </row>
    <row r="161" spans="1:6" x14ac:dyDescent="0.25">
      <c r="A161" s="15" t="s">
        <v>11</v>
      </c>
      <c r="B161" s="16"/>
      <c r="C161" s="16"/>
      <c r="D161" s="17">
        <v>-1900</v>
      </c>
      <c r="E161" s="18"/>
      <c r="F161" s="15" t="s">
        <v>47</v>
      </c>
    </row>
    <row r="162" spans="1:6" x14ac:dyDescent="0.25">
      <c r="A162" s="15" t="s">
        <v>11</v>
      </c>
      <c r="B162" s="16">
        <v>1004</v>
      </c>
      <c r="C162" s="16">
        <v>9</v>
      </c>
      <c r="D162" s="17">
        <v>-1416.73</v>
      </c>
      <c r="E162" s="18"/>
      <c r="F162" s="15" t="s">
        <v>33</v>
      </c>
    </row>
    <row r="163" spans="1:6" x14ac:dyDescent="0.25">
      <c r="A163" s="15" t="s">
        <v>11</v>
      </c>
      <c r="B163" s="16">
        <v>1004</v>
      </c>
      <c r="C163" s="16">
        <v>9</v>
      </c>
      <c r="D163" s="17">
        <v>-407.68</v>
      </c>
      <c r="E163" s="18"/>
      <c r="F163" s="15" t="s">
        <v>28</v>
      </c>
    </row>
    <row r="164" spans="1:6" x14ac:dyDescent="0.25">
      <c r="A164" s="15" t="s">
        <v>11</v>
      </c>
      <c r="B164" s="16">
        <v>1004</v>
      </c>
      <c r="C164" s="16">
        <v>9</v>
      </c>
      <c r="D164" s="17">
        <v>-1218.06</v>
      </c>
      <c r="E164" s="18"/>
      <c r="F164" s="15" t="s">
        <v>33</v>
      </c>
    </row>
    <row r="165" spans="1:6" x14ac:dyDescent="0.25">
      <c r="A165" s="15" t="s">
        <v>11</v>
      </c>
      <c r="B165" s="16"/>
      <c r="C165" s="16"/>
      <c r="D165" s="17">
        <v>-2071.08</v>
      </c>
      <c r="E165" s="18"/>
      <c r="F165" s="15" t="s">
        <v>106</v>
      </c>
    </row>
    <row r="166" spans="1:6" x14ac:dyDescent="0.25">
      <c r="A166" s="15" t="s">
        <v>11</v>
      </c>
      <c r="B166" s="16"/>
      <c r="C166" s="16"/>
      <c r="D166" s="17">
        <v>-101.65</v>
      </c>
      <c r="E166" s="18"/>
      <c r="F166" s="15" t="s">
        <v>71</v>
      </c>
    </row>
    <row r="167" spans="1:6" x14ac:dyDescent="0.25">
      <c r="A167" s="11" t="s">
        <v>11</v>
      </c>
      <c r="B167" s="6"/>
      <c r="C167" s="6"/>
      <c r="D167" s="12">
        <v>7603.3</v>
      </c>
      <c r="E167" s="7"/>
      <c r="F167" s="11" t="s">
        <v>107</v>
      </c>
    </row>
    <row r="168" spans="1:6" x14ac:dyDescent="0.25">
      <c r="A168" s="11" t="s">
        <v>11</v>
      </c>
      <c r="B168" s="6"/>
      <c r="C168" s="6"/>
      <c r="D168" s="12">
        <v>265.60000000000002</v>
      </c>
      <c r="E168" s="7"/>
      <c r="F168" s="11" t="s">
        <v>108</v>
      </c>
    </row>
    <row r="169" spans="1:6" x14ac:dyDescent="0.25">
      <c r="A169" s="11" t="s">
        <v>11</v>
      </c>
      <c r="B169" s="6"/>
      <c r="C169" s="6"/>
      <c r="D169" s="12">
        <v>290</v>
      </c>
      <c r="E169" s="7"/>
      <c r="F169" s="11" t="s">
        <v>109</v>
      </c>
    </row>
    <row r="170" spans="1:6" x14ac:dyDescent="0.25">
      <c r="A170" s="11" t="s">
        <v>11</v>
      </c>
      <c r="B170" s="6"/>
      <c r="C170" s="6"/>
      <c r="D170" s="12">
        <v>38</v>
      </c>
      <c r="E170" s="7"/>
      <c r="F170" s="11" t="s">
        <v>110</v>
      </c>
    </row>
    <row r="171" spans="1:6" x14ac:dyDescent="0.25">
      <c r="A171" s="11" t="s">
        <v>11</v>
      </c>
      <c r="B171" s="6"/>
      <c r="C171" s="6"/>
      <c r="D171" s="12">
        <v>185.8</v>
      </c>
      <c r="E171" s="7"/>
      <c r="F171" s="11" t="s">
        <v>111</v>
      </c>
    </row>
    <row r="172" spans="1:6" x14ac:dyDescent="0.25">
      <c r="A172" s="11" t="s">
        <v>11</v>
      </c>
      <c r="B172" s="6"/>
      <c r="C172" s="6"/>
      <c r="D172" s="12">
        <v>458.3</v>
      </c>
      <c r="E172" s="7"/>
      <c r="F172" s="11" t="s">
        <v>112</v>
      </c>
    </row>
    <row r="173" spans="1:6" x14ac:dyDescent="0.25">
      <c r="A173" s="11" t="s">
        <v>11</v>
      </c>
      <c r="B173" s="6"/>
      <c r="C173" s="6"/>
      <c r="D173" s="12">
        <v>29.9</v>
      </c>
      <c r="E173" s="7"/>
      <c r="F173" s="11" t="s">
        <v>108</v>
      </c>
    </row>
    <row r="174" spans="1:6" x14ac:dyDescent="0.25">
      <c r="A174" s="11" t="s">
        <v>11</v>
      </c>
      <c r="B174" s="6"/>
      <c r="C174" s="6"/>
      <c r="D174" s="12">
        <v>10000</v>
      </c>
      <c r="E174" s="7"/>
      <c r="F174" s="11" t="s">
        <v>113</v>
      </c>
    </row>
    <row r="175" spans="1:6" x14ac:dyDescent="0.25">
      <c r="A175" s="11" t="s">
        <v>11</v>
      </c>
      <c r="B175" s="6"/>
      <c r="C175" s="6"/>
      <c r="D175" s="12">
        <v>880</v>
      </c>
      <c r="E175" s="7"/>
      <c r="F175" s="11" t="s">
        <v>114</v>
      </c>
    </row>
    <row r="176" spans="1:6" x14ac:dyDescent="0.25">
      <c r="A176" s="15" t="s">
        <v>12</v>
      </c>
      <c r="B176" s="16">
        <v>1025</v>
      </c>
      <c r="C176" s="16">
        <v>9</v>
      </c>
      <c r="D176" s="17">
        <v>-9.4499999999999993</v>
      </c>
      <c r="E176" s="18"/>
      <c r="F176" s="15" t="s">
        <v>25</v>
      </c>
    </row>
    <row r="177" spans="1:6" x14ac:dyDescent="0.25">
      <c r="A177" s="15" t="s">
        <v>12</v>
      </c>
      <c r="B177" s="16">
        <v>1004</v>
      </c>
      <c r="C177" s="16">
        <v>9</v>
      </c>
      <c r="D177" s="17">
        <v>-1040.98</v>
      </c>
      <c r="E177" s="18"/>
      <c r="F177" s="15" t="s">
        <v>33</v>
      </c>
    </row>
    <row r="178" spans="1:6" x14ac:dyDescent="0.25">
      <c r="A178" s="15" t="s">
        <v>12</v>
      </c>
      <c r="B178" s="16">
        <v>1004</v>
      </c>
      <c r="C178" s="16">
        <v>9</v>
      </c>
      <c r="D178" s="17">
        <v>-3919.26</v>
      </c>
      <c r="E178" s="18"/>
      <c r="F178" s="15" t="s">
        <v>68</v>
      </c>
    </row>
    <row r="179" spans="1:6" x14ac:dyDescent="0.25">
      <c r="A179" s="15" t="s">
        <v>12</v>
      </c>
      <c r="B179" s="16"/>
      <c r="C179" s="16"/>
      <c r="D179" s="17">
        <v>-802.88</v>
      </c>
      <c r="E179" s="18"/>
      <c r="F179" s="15" t="s">
        <v>115</v>
      </c>
    </row>
    <row r="180" spans="1:6" x14ac:dyDescent="0.25">
      <c r="A180" s="15" t="s">
        <v>12</v>
      </c>
      <c r="B180" s="16">
        <v>1004</v>
      </c>
      <c r="C180" s="16">
        <v>9</v>
      </c>
      <c r="D180" s="17">
        <v>-700.27</v>
      </c>
      <c r="E180" s="18"/>
      <c r="F180" s="15" t="s">
        <v>116</v>
      </c>
    </row>
    <row r="181" spans="1:6" x14ac:dyDescent="0.25">
      <c r="A181" s="15" t="s">
        <v>12</v>
      </c>
      <c r="B181" s="16"/>
      <c r="C181" s="16"/>
      <c r="D181" s="17">
        <v>-1268.01</v>
      </c>
      <c r="E181" s="18"/>
      <c r="F181" s="15" t="s">
        <v>48</v>
      </c>
    </row>
    <row r="182" spans="1:6" x14ac:dyDescent="0.25">
      <c r="A182" s="15" t="s">
        <v>12</v>
      </c>
      <c r="B182" s="16">
        <v>1004</v>
      </c>
      <c r="C182" s="16">
        <v>9</v>
      </c>
      <c r="D182" s="17">
        <v>-47.07</v>
      </c>
      <c r="E182" s="18"/>
      <c r="F182" s="20" t="s">
        <v>45</v>
      </c>
    </row>
    <row r="183" spans="1:6" x14ac:dyDescent="0.25">
      <c r="A183" s="15" t="s">
        <v>12</v>
      </c>
      <c r="B183" s="16"/>
      <c r="C183" s="16"/>
      <c r="D183" s="17">
        <v>-2275.5</v>
      </c>
      <c r="E183" s="18"/>
      <c r="F183" s="15" t="s">
        <v>117</v>
      </c>
    </row>
    <row r="184" spans="1:6" x14ac:dyDescent="0.25">
      <c r="A184" s="15" t="s">
        <v>12</v>
      </c>
      <c r="B184" s="16">
        <v>1004</v>
      </c>
      <c r="C184" s="16">
        <v>9</v>
      </c>
      <c r="D184" s="17">
        <v>-2793.89</v>
      </c>
      <c r="E184" s="18"/>
      <c r="F184" s="15" t="s">
        <v>45</v>
      </c>
    </row>
    <row r="185" spans="1:6" x14ac:dyDescent="0.25">
      <c r="A185" s="15" t="s">
        <v>12</v>
      </c>
      <c r="B185" s="16"/>
      <c r="C185" s="16"/>
      <c r="D185" s="17">
        <v>-3089.7</v>
      </c>
      <c r="E185" s="18"/>
      <c r="F185" s="15" t="s">
        <v>118</v>
      </c>
    </row>
    <row r="186" spans="1:6" x14ac:dyDescent="0.25">
      <c r="A186" s="15" t="s">
        <v>12</v>
      </c>
      <c r="B186" s="16">
        <v>1004</v>
      </c>
      <c r="C186" s="16">
        <v>9</v>
      </c>
      <c r="D186" s="17">
        <v>-1300.99</v>
      </c>
      <c r="E186" s="18"/>
      <c r="F186" s="15" t="s">
        <v>32</v>
      </c>
    </row>
    <row r="187" spans="1:6" x14ac:dyDescent="0.25">
      <c r="A187" s="15" t="s">
        <v>12</v>
      </c>
      <c r="B187" s="16"/>
      <c r="C187" s="16"/>
      <c r="D187" s="17">
        <v>-4618.91</v>
      </c>
      <c r="E187" s="18"/>
      <c r="F187" s="15" t="s">
        <v>49</v>
      </c>
    </row>
    <row r="188" spans="1:6" x14ac:dyDescent="0.25">
      <c r="A188" s="15" t="s">
        <v>12</v>
      </c>
      <c r="B188" s="16">
        <v>1004</v>
      </c>
      <c r="C188" s="16">
        <v>9</v>
      </c>
      <c r="D188" s="17">
        <v>-477</v>
      </c>
      <c r="E188" s="18"/>
      <c r="F188" s="15" t="s">
        <v>26</v>
      </c>
    </row>
    <row r="189" spans="1:6" x14ac:dyDescent="0.25">
      <c r="A189" s="15" t="s">
        <v>12</v>
      </c>
      <c r="B189" s="16">
        <v>1004</v>
      </c>
      <c r="C189" s="16">
        <v>9</v>
      </c>
      <c r="D189" s="17">
        <v>-10472.51</v>
      </c>
      <c r="E189" s="18"/>
      <c r="F189" s="15" t="s">
        <v>45</v>
      </c>
    </row>
    <row r="190" spans="1:6" x14ac:dyDescent="0.25">
      <c r="A190" s="15" t="s">
        <v>12</v>
      </c>
      <c r="B190" s="16"/>
      <c r="C190" s="16"/>
      <c r="D190" s="17">
        <v>-937.27</v>
      </c>
      <c r="E190" s="18"/>
      <c r="F190" s="15" t="s">
        <v>119</v>
      </c>
    </row>
    <row r="191" spans="1:6" x14ac:dyDescent="0.25">
      <c r="A191" s="15" t="s">
        <v>12</v>
      </c>
      <c r="B191" s="16"/>
      <c r="C191" s="16"/>
      <c r="D191" s="17">
        <v>-3652.07</v>
      </c>
      <c r="E191" s="18"/>
      <c r="F191" s="15" t="s">
        <v>119</v>
      </c>
    </row>
    <row r="192" spans="1:6" x14ac:dyDescent="0.25">
      <c r="A192" s="15" t="s">
        <v>12</v>
      </c>
      <c r="B192" s="16">
        <v>1004</v>
      </c>
      <c r="C192" s="16">
        <v>9</v>
      </c>
      <c r="D192" s="17">
        <v>-4806.33</v>
      </c>
      <c r="E192" s="18"/>
      <c r="F192" s="15" t="s">
        <v>27</v>
      </c>
    </row>
    <row r="193" spans="1:6" x14ac:dyDescent="0.25">
      <c r="A193" s="15" t="s">
        <v>12</v>
      </c>
      <c r="B193" s="16">
        <v>1004</v>
      </c>
      <c r="C193" s="16">
        <v>9</v>
      </c>
      <c r="D193" s="17">
        <v>-521.59</v>
      </c>
      <c r="E193" s="18"/>
      <c r="F193" s="15" t="s">
        <v>68</v>
      </c>
    </row>
    <row r="194" spans="1:6" x14ac:dyDescent="0.25">
      <c r="A194" s="11" t="s">
        <v>12</v>
      </c>
      <c r="B194" s="6"/>
      <c r="C194" s="6"/>
      <c r="D194" s="12">
        <v>1806.25</v>
      </c>
      <c r="E194" s="7"/>
      <c r="F194" s="11" t="s">
        <v>120</v>
      </c>
    </row>
    <row r="195" spans="1:6" x14ac:dyDescent="0.25">
      <c r="A195" s="11" t="s">
        <v>12</v>
      </c>
      <c r="B195" s="6"/>
      <c r="C195" s="6"/>
      <c r="D195" s="12">
        <v>8213.08</v>
      </c>
      <c r="E195" s="7"/>
      <c r="F195" s="11" t="s">
        <v>36</v>
      </c>
    </row>
    <row r="196" spans="1:6" x14ac:dyDescent="0.25">
      <c r="A196" s="11" t="s">
        <v>12</v>
      </c>
      <c r="B196" s="6"/>
      <c r="C196" s="6"/>
      <c r="D196" s="12">
        <v>26.66</v>
      </c>
      <c r="E196" s="7"/>
      <c r="F196" s="11" t="s">
        <v>37</v>
      </c>
    </row>
    <row r="197" spans="1:6" x14ac:dyDescent="0.25">
      <c r="A197" s="11" t="s">
        <v>12</v>
      </c>
      <c r="B197" s="6"/>
      <c r="C197" s="6"/>
      <c r="D197" s="12">
        <v>0.09</v>
      </c>
      <c r="E197" s="7"/>
      <c r="F197" s="11" t="s">
        <v>39</v>
      </c>
    </row>
    <row r="198" spans="1:6" x14ac:dyDescent="0.25">
      <c r="A198" s="11" t="s">
        <v>12</v>
      </c>
      <c r="B198" s="6"/>
      <c r="C198" s="6"/>
      <c r="D198" s="12">
        <v>49.8</v>
      </c>
      <c r="E198" s="7"/>
      <c r="F198" s="11" t="s">
        <v>121</v>
      </c>
    </row>
    <row r="199" spans="1:6" x14ac:dyDescent="0.25">
      <c r="A199" s="11" t="s">
        <v>12</v>
      </c>
      <c r="B199" s="6"/>
      <c r="C199" s="6"/>
      <c r="D199" s="12">
        <v>77.400000000000006</v>
      </c>
      <c r="E199" s="7"/>
      <c r="F199" s="11" t="s">
        <v>122</v>
      </c>
    </row>
    <row r="200" spans="1:6" x14ac:dyDescent="0.25">
      <c r="A200" s="11" t="s">
        <v>12</v>
      </c>
      <c r="B200" s="6"/>
      <c r="C200" s="6"/>
      <c r="D200" s="12">
        <v>35.9</v>
      </c>
      <c r="E200" s="7"/>
      <c r="F200" s="11" t="s">
        <v>123</v>
      </c>
    </row>
    <row r="201" spans="1:6" x14ac:dyDescent="0.25">
      <c r="A201" s="11" t="s">
        <v>12</v>
      </c>
      <c r="B201" s="6"/>
      <c r="C201" s="6"/>
      <c r="D201" s="12">
        <v>129.69999999999999</v>
      </c>
      <c r="E201" s="7"/>
      <c r="F201" s="11" t="s">
        <v>124</v>
      </c>
    </row>
    <row r="202" spans="1:6" x14ac:dyDescent="0.25">
      <c r="A202" s="11" t="s">
        <v>12</v>
      </c>
      <c r="B202" s="6"/>
      <c r="C202" s="6"/>
      <c r="D202" s="12">
        <v>394.8</v>
      </c>
      <c r="E202" s="7"/>
      <c r="F202" s="11" t="s">
        <v>125</v>
      </c>
    </row>
    <row r="203" spans="1:6" x14ac:dyDescent="0.25">
      <c r="A203" s="11" t="s">
        <v>12</v>
      </c>
      <c r="B203" s="6"/>
      <c r="C203" s="6"/>
      <c r="D203" s="12">
        <v>32000</v>
      </c>
      <c r="E203" s="7"/>
      <c r="F203" s="11" t="s">
        <v>126</v>
      </c>
    </row>
    <row r="204" spans="1:6" x14ac:dyDescent="0.25">
      <c r="A204" s="15" t="s">
        <v>13</v>
      </c>
      <c r="B204" s="16"/>
      <c r="C204" s="16"/>
      <c r="D204" s="17">
        <v>-188.96</v>
      </c>
      <c r="E204" s="18"/>
      <c r="F204" s="15" t="s">
        <v>99</v>
      </c>
    </row>
    <row r="205" spans="1:6" x14ac:dyDescent="0.25">
      <c r="A205" s="15" t="s">
        <v>13</v>
      </c>
      <c r="B205" s="16">
        <v>1025</v>
      </c>
      <c r="C205" s="16">
        <v>9</v>
      </c>
      <c r="D205" s="17">
        <v>-5.67</v>
      </c>
      <c r="E205" s="18"/>
      <c r="F205" s="15" t="s">
        <v>25</v>
      </c>
    </row>
    <row r="206" spans="1:6" x14ac:dyDescent="0.25">
      <c r="A206" s="15" t="s">
        <v>13</v>
      </c>
      <c r="B206" s="16"/>
      <c r="C206" s="16"/>
      <c r="D206" s="17">
        <v>-4633.32</v>
      </c>
      <c r="E206" s="18"/>
      <c r="F206" s="15" t="s">
        <v>59</v>
      </c>
    </row>
    <row r="207" spans="1:6" x14ac:dyDescent="0.25">
      <c r="A207" s="15" t="s">
        <v>13</v>
      </c>
      <c r="B207" s="16">
        <v>1004</v>
      </c>
      <c r="C207" s="16">
        <v>9</v>
      </c>
      <c r="D207" s="17">
        <v>-3384.43</v>
      </c>
      <c r="E207" s="18"/>
      <c r="F207" s="15" t="s">
        <v>68</v>
      </c>
    </row>
    <row r="208" spans="1:6" x14ac:dyDescent="0.25">
      <c r="A208" s="15" t="s">
        <v>13</v>
      </c>
      <c r="B208" s="16"/>
      <c r="C208" s="16"/>
      <c r="D208" s="17">
        <v>-2924.38</v>
      </c>
      <c r="E208" s="18"/>
      <c r="F208" s="15" t="s">
        <v>48</v>
      </c>
    </row>
    <row r="209" spans="1:6" x14ac:dyDescent="0.25">
      <c r="A209" s="15" t="s">
        <v>13</v>
      </c>
      <c r="B209" s="16"/>
      <c r="C209" s="16"/>
      <c r="D209" s="17">
        <v>-477.37</v>
      </c>
      <c r="E209" s="18"/>
      <c r="F209" s="15" t="s">
        <v>93</v>
      </c>
    </row>
    <row r="210" spans="1:6" x14ac:dyDescent="0.25">
      <c r="A210" s="15" t="s">
        <v>13</v>
      </c>
      <c r="B210" s="16">
        <v>1004</v>
      </c>
      <c r="C210" s="16">
        <v>9</v>
      </c>
      <c r="D210" s="17">
        <v>-1002.8</v>
      </c>
      <c r="E210" s="18"/>
      <c r="F210" s="15" t="s">
        <v>33</v>
      </c>
    </row>
    <row r="211" spans="1:6" x14ac:dyDescent="0.25">
      <c r="A211" s="15" t="s">
        <v>13</v>
      </c>
      <c r="B211" s="16">
        <v>1004</v>
      </c>
      <c r="C211" s="16">
        <v>9</v>
      </c>
      <c r="D211" s="17">
        <v>-479.84</v>
      </c>
      <c r="E211" s="18"/>
      <c r="F211" s="15" t="s">
        <v>62</v>
      </c>
    </row>
    <row r="212" spans="1:6" x14ac:dyDescent="0.25">
      <c r="A212" s="15" t="s">
        <v>13</v>
      </c>
      <c r="B212" s="16"/>
      <c r="C212" s="16"/>
      <c r="D212" s="17">
        <v>-1164.1400000000001</v>
      </c>
      <c r="E212" s="18"/>
      <c r="F212" s="15" t="s">
        <v>127</v>
      </c>
    </row>
    <row r="213" spans="1:6" x14ac:dyDescent="0.25">
      <c r="A213" s="15" t="s">
        <v>13</v>
      </c>
      <c r="B213" s="16"/>
      <c r="C213" s="16"/>
      <c r="D213" s="17">
        <v>-2083.83</v>
      </c>
      <c r="E213" s="18"/>
      <c r="F213" s="15" t="s">
        <v>82</v>
      </c>
    </row>
    <row r="214" spans="1:6" x14ac:dyDescent="0.25">
      <c r="A214" s="15" t="s">
        <v>13</v>
      </c>
      <c r="B214" s="16">
        <v>1004</v>
      </c>
      <c r="C214" s="16">
        <v>9</v>
      </c>
      <c r="D214" s="17">
        <v>-96.52</v>
      </c>
      <c r="E214" s="18"/>
      <c r="F214" s="15" t="s">
        <v>45</v>
      </c>
    </row>
    <row r="215" spans="1:6" x14ac:dyDescent="0.25">
      <c r="A215" s="15" t="s">
        <v>13</v>
      </c>
      <c r="B215" s="16">
        <v>1004</v>
      </c>
      <c r="C215" s="16">
        <v>9</v>
      </c>
      <c r="D215" s="17">
        <v>-476.92</v>
      </c>
      <c r="E215" s="18"/>
      <c r="F215" s="15" t="s">
        <v>62</v>
      </c>
    </row>
    <row r="216" spans="1:6" x14ac:dyDescent="0.25">
      <c r="A216" s="15" t="s">
        <v>13</v>
      </c>
      <c r="B216" s="16"/>
      <c r="C216" s="16"/>
      <c r="D216" s="17">
        <v>-2983.81</v>
      </c>
      <c r="E216" s="18"/>
      <c r="F216" s="15" t="s">
        <v>128</v>
      </c>
    </row>
    <row r="217" spans="1:6" x14ac:dyDescent="0.25">
      <c r="A217" s="15" t="s">
        <v>13</v>
      </c>
      <c r="B217" s="16"/>
      <c r="C217" s="16"/>
      <c r="D217" s="17">
        <v>-635.47</v>
      </c>
      <c r="E217" s="18"/>
      <c r="F217" s="15" t="s">
        <v>61</v>
      </c>
    </row>
    <row r="218" spans="1:6" x14ac:dyDescent="0.25">
      <c r="A218" s="15" t="s">
        <v>13</v>
      </c>
      <c r="B218" s="16">
        <v>1004</v>
      </c>
      <c r="C218" s="16">
        <v>9</v>
      </c>
      <c r="D218" s="17">
        <v>-2925.88</v>
      </c>
      <c r="E218" s="18"/>
      <c r="F218" s="15" t="s">
        <v>27</v>
      </c>
    </row>
    <row r="219" spans="1:6" x14ac:dyDescent="0.25">
      <c r="A219" s="15" t="s">
        <v>13</v>
      </c>
      <c r="B219" s="16">
        <v>1004</v>
      </c>
      <c r="C219" s="16">
        <v>9</v>
      </c>
      <c r="D219" s="17">
        <v>-1560.34</v>
      </c>
      <c r="E219" s="18"/>
      <c r="F219" s="15" t="s">
        <v>31</v>
      </c>
    </row>
    <row r="220" spans="1:6" x14ac:dyDescent="0.25">
      <c r="A220" s="15" t="s">
        <v>13</v>
      </c>
      <c r="B220" s="16"/>
      <c r="C220" s="16"/>
      <c r="D220" s="17">
        <v>-1655.54</v>
      </c>
      <c r="E220" s="18"/>
      <c r="F220" s="15" t="s">
        <v>129</v>
      </c>
    </row>
    <row r="221" spans="1:6" x14ac:dyDescent="0.25">
      <c r="A221" s="15" t="s">
        <v>13</v>
      </c>
      <c r="B221" s="16">
        <v>1004</v>
      </c>
      <c r="C221" s="16">
        <v>9</v>
      </c>
      <c r="D221" s="17">
        <v>-235.76</v>
      </c>
      <c r="E221" s="18"/>
      <c r="F221" s="15" t="s">
        <v>62</v>
      </c>
    </row>
    <row r="222" spans="1:6" x14ac:dyDescent="0.25">
      <c r="A222" s="15" t="s">
        <v>13</v>
      </c>
      <c r="B222" s="16"/>
      <c r="C222" s="16"/>
      <c r="D222" s="17">
        <v>-1314.56</v>
      </c>
      <c r="E222" s="18"/>
      <c r="F222" s="15" t="s">
        <v>84</v>
      </c>
    </row>
    <row r="223" spans="1:6" x14ac:dyDescent="0.25">
      <c r="A223" s="11" t="s">
        <v>13</v>
      </c>
      <c r="B223" s="6"/>
      <c r="C223" s="6"/>
      <c r="D223" s="12">
        <v>6329.39</v>
      </c>
      <c r="E223" s="7"/>
      <c r="F223" s="11" t="s">
        <v>130</v>
      </c>
    </row>
    <row r="224" spans="1:6" x14ac:dyDescent="0.25">
      <c r="A224" s="11" t="s">
        <v>13</v>
      </c>
      <c r="B224" s="6"/>
      <c r="C224" s="6"/>
      <c r="D224" s="12">
        <v>116.85</v>
      </c>
      <c r="E224" s="7"/>
      <c r="F224" s="11" t="s">
        <v>37</v>
      </c>
    </row>
    <row r="225" spans="1:6" x14ac:dyDescent="0.25">
      <c r="A225" s="11" t="s">
        <v>13</v>
      </c>
      <c r="B225" s="6"/>
      <c r="C225" s="6"/>
      <c r="D225" s="12">
        <v>353.3</v>
      </c>
      <c r="E225" s="7"/>
      <c r="F225" s="11" t="s">
        <v>131</v>
      </c>
    </row>
    <row r="226" spans="1:6" x14ac:dyDescent="0.25">
      <c r="A226" s="11" t="s">
        <v>13</v>
      </c>
      <c r="B226" s="6"/>
      <c r="C226" s="6"/>
      <c r="D226" s="12">
        <v>16200</v>
      </c>
      <c r="E226" s="7"/>
      <c r="F226" s="11" t="s">
        <v>132</v>
      </c>
    </row>
    <row r="227" spans="1:6" x14ac:dyDescent="0.25">
      <c r="A227" s="11" t="s">
        <v>13</v>
      </c>
      <c r="B227" s="6"/>
      <c r="C227" s="6"/>
      <c r="D227" s="12">
        <v>230</v>
      </c>
      <c r="E227" s="7"/>
      <c r="F227" s="11" t="s">
        <v>133</v>
      </c>
    </row>
    <row r="228" spans="1:6" x14ac:dyDescent="0.25">
      <c r="A228" s="11" t="s">
        <v>13</v>
      </c>
      <c r="B228" s="6"/>
      <c r="C228" s="6"/>
      <c r="D228" s="12">
        <v>5000</v>
      </c>
      <c r="E228" s="7"/>
      <c r="F228" s="11" t="s">
        <v>132</v>
      </c>
    </row>
    <row r="229" spans="1:6" x14ac:dyDescent="0.25">
      <c r="A229" s="15" t="s">
        <v>14</v>
      </c>
      <c r="B229" s="16">
        <v>1025</v>
      </c>
      <c r="C229" s="16">
        <v>9</v>
      </c>
      <c r="D229" s="17">
        <v>-9.4499999999999993</v>
      </c>
      <c r="E229" s="18"/>
      <c r="F229" s="15" t="s">
        <v>25</v>
      </c>
    </row>
    <row r="230" spans="1:6" x14ac:dyDescent="0.25">
      <c r="A230" s="15" t="s">
        <v>14</v>
      </c>
      <c r="B230" s="16">
        <v>1004</v>
      </c>
      <c r="C230" s="16">
        <v>9</v>
      </c>
      <c r="D230" s="17">
        <v>-558</v>
      </c>
      <c r="E230" s="18"/>
      <c r="F230" s="15" t="s">
        <v>62</v>
      </c>
    </row>
    <row r="231" spans="1:6" x14ac:dyDescent="0.25">
      <c r="A231" s="15" t="s">
        <v>14</v>
      </c>
      <c r="B231" s="16">
        <v>1004</v>
      </c>
      <c r="C231" s="16">
        <v>9</v>
      </c>
      <c r="D231" s="17">
        <v>-464.78</v>
      </c>
      <c r="E231" s="18"/>
      <c r="F231" s="15" t="s">
        <v>28</v>
      </c>
    </row>
    <row r="232" spans="1:6" x14ac:dyDescent="0.25">
      <c r="A232" s="15" t="s">
        <v>14</v>
      </c>
      <c r="B232" s="16"/>
      <c r="C232" s="16"/>
      <c r="D232" s="17">
        <v>-670.52</v>
      </c>
      <c r="E232" s="18"/>
      <c r="F232" s="15" t="s">
        <v>74</v>
      </c>
    </row>
    <row r="233" spans="1:6" x14ac:dyDescent="0.25">
      <c r="A233" s="15" t="s">
        <v>14</v>
      </c>
      <c r="B233" s="16">
        <v>1004</v>
      </c>
      <c r="C233" s="16">
        <v>9</v>
      </c>
      <c r="D233" s="17">
        <v>-484.16</v>
      </c>
      <c r="E233" s="18"/>
      <c r="F233" s="15" t="s">
        <v>28</v>
      </c>
    </row>
    <row r="234" spans="1:6" x14ac:dyDescent="0.25">
      <c r="A234" s="15" t="s">
        <v>14</v>
      </c>
      <c r="B234" s="16">
        <v>1004</v>
      </c>
      <c r="C234" s="16">
        <v>9</v>
      </c>
      <c r="D234" s="17">
        <v>-514.44000000000005</v>
      </c>
      <c r="E234" s="18"/>
      <c r="F234" s="15" t="s">
        <v>30</v>
      </c>
    </row>
    <row r="235" spans="1:6" x14ac:dyDescent="0.25">
      <c r="A235" s="15" t="s">
        <v>14</v>
      </c>
      <c r="B235" s="16"/>
      <c r="C235" s="16"/>
      <c r="D235" s="17">
        <v>-8666</v>
      </c>
      <c r="E235" s="18"/>
      <c r="F235" s="15" t="s">
        <v>134</v>
      </c>
    </row>
    <row r="236" spans="1:6" x14ac:dyDescent="0.25">
      <c r="A236" s="15" t="s">
        <v>14</v>
      </c>
      <c r="B236" s="16">
        <v>1004</v>
      </c>
      <c r="C236" s="16">
        <v>9</v>
      </c>
      <c r="D236" s="17">
        <v>-811.82</v>
      </c>
      <c r="E236" s="18"/>
      <c r="F236" s="15" t="s">
        <v>66</v>
      </c>
    </row>
    <row r="237" spans="1:6" x14ac:dyDescent="0.25">
      <c r="A237" s="15" t="s">
        <v>14</v>
      </c>
      <c r="B237" s="16">
        <v>1004</v>
      </c>
      <c r="C237" s="16">
        <v>9</v>
      </c>
      <c r="D237" s="17">
        <v>-351.16</v>
      </c>
      <c r="E237" s="18"/>
      <c r="F237" s="15" t="s">
        <v>62</v>
      </c>
    </row>
    <row r="238" spans="1:6" x14ac:dyDescent="0.25">
      <c r="A238" s="15" t="s">
        <v>14</v>
      </c>
      <c r="B238" s="16"/>
      <c r="C238" s="16"/>
      <c r="D238" s="17">
        <v>-716.96</v>
      </c>
      <c r="E238" s="18"/>
      <c r="F238" s="15" t="s">
        <v>82</v>
      </c>
    </row>
    <row r="239" spans="1:6" x14ac:dyDescent="0.25">
      <c r="A239" s="15" t="s">
        <v>14</v>
      </c>
      <c r="B239" s="16">
        <v>1004</v>
      </c>
      <c r="C239" s="16">
        <v>9</v>
      </c>
      <c r="D239" s="17">
        <v>-1292.1600000000001</v>
      </c>
      <c r="E239" s="18"/>
      <c r="F239" s="15" t="s">
        <v>33</v>
      </c>
    </row>
    <row r="240" spans="1:6" x14ac:dyDescent="0.25">
      <c r="A240" s="15" t="s">
        <v>14</v>
      </c>
      <c r="B240" s="16"/>
      <c r="C240" s="16"/>
      <c r="D240" s="17">
        <v>-3532.39</v>
      </c>
      <c r="E240" s="18"/>
      <c r="F240" s="15" t="s">
        <v>119</v>
      </c>
    </row>
    <row r="241" spans="1:6" x14ac:dyDescent="0.25">
      <c r="A241" s="11" t="s">
        <v>14</v>
      </c>
      <c r="B241" s="6"/>
      <c r="C241" s="6"/>
      <c r="D241" s="12">
        <v>2874.9</v>
      </c>
      <c r="E241" s="7"/>
      <c r="F241" s="11" t="s">
        <v>135</v>
      </c>
    </row>
    <row r="242" spans="1:6" x14ac:dyDescent="0.25">
      <c r="A242" s="11" t="s">
        <v>14</v>
      </c>
      <c r="B242" s="6"/>
      <c r="C242" s="6"/>
      <c r="D242" s="12">
        <v>3663.01</v>
      </c>
      <c r="E242" s="7"/>
      <c r="F242" s="11" t="s">
        <v>36</v>
      </c>
    </row>
    <row r="243" spans="1:6" x14ac:dyDescent="0.25">
      <c r="A243" s="11" t="s">
        <v>14</v>
      </c>
      <c r="B243" s="6"/>
      <c r="C243" s="6"/>
      <c r="D243" s="12">
        <v>0.03</v>
      </c>
      <c r="E243" s="7"/>
      <c r="F243" s="11" t="s">
        <v>39</v>
      </c>
    </row>
    <row r="244" spans="1:6" x14ac:dyDescent="0.25">
      <c r="A244" s="11" t="s">
        <v>14</v>
      </c>
      <c r="B244" s="6"/>
      <c r="C244" s="6"/>
      <c r="D244" s="12">
        <v>880</v>
      </c>
      <c r="E244" s="7"/>
      <c r="F244" s="11" t="s">
        <v>136</v>
      </c>
    </row>
    <row r="245" spans="1:6" x14ac:dyDescent="0.25">
      <c r="A245" s="11" t="s">
        <v>14</v>
      </c>
      <c r="B245" s="6"/>
      <c r="C245" s="6"/>
      <c r="D245" s="12">
        <v>457.9</v>
      </c>
      <c r="E245" s="7"/>
      <c r="F245" s="11" t="s">
        <v>137</v>
      </c>
    </row>
    <row r="246" spans="1:6" x14ac:dyDescent="0.25">
      <c r="A246" s="11" t="s">
        <v>14</v>
      </c>
      <c r="B246" s="6"/>
      <c r="C246" s="6"/>
      <c r="D246" s="12">
        <v>926</v>
      </c>
      <c r="E246" s="7"/>
      <c r="F246" s="11" t="s">
        <v>138</v>
      </c>
    </row>
    <row r="247" spans="1:6" x14ac:dyDescent="0.25">
      <c r="A247" s="11" t="s">
        <v>14</v>
      </c>
      <c r="B247" s="6"/>
      <c r="C247" s="6"/>
      <c r="D247" s="12">
        <v>1370</v>
      </c>
      <c r="E247" s="7"/>
      <c r="F247" s="11" t="s">
        <v>139</v>
      </c>
    </row>
    <row r="248" spans="1:6" x14ac:dyDescent="0.25">
      <c r="A248" s="11" t="s">
        <v>14</v>
      </c>
      <c r="B248" s="6"/>
      <c r="C248" s="6"/>
      <c r="D248" s="12">
        <v>7900</v>
      </c>
      <c r="E248" s="7"/>
      <c r="F248" s="11" t="s">
        <v>140</v>
      </c>
    </row>
    <row r="249" spans="1:6" x14ac:dyDescent="0.25">
      <c r="A249" s="15" t="s">
        <v>15</v>
      </c>
      <c r="B249" s="16">
        <v>1025</v>
      </c>
      <c r="C249" s="16">
        <v>9</v>
      </c>
      <c r="D249" s="17">
        <v>-7.56</v>
      </c>
      <c r="E249" s="18"/>
      <c r="F249" s="15" t="s">
        <v>25</v>
      </c>
    </row>
    <row r="250" spans="1:6" x14ac:dyDescent="0.25">
      <c r="A250" s="15" t="s">
        <v>15</v>
      </c>
      <c r="B250" s="16"/>
      <c r="C250" s="16"/>
      <c r="D250" s="17">
        <v>-4294.8599999999997</v>
      </c>
      <c r="E250" s="18"/>
      <c r="F250" s="15" t="s">
        <v>59</v>
      </c>
    </row>
    <row r="251" spans="1:6" x14ac:dyDescent="0.25">
      <c r="A251" s="15" t="s">
        <v>15</v>
      </c>
      <c r="B251" s="16"/>
      <c r="C251" s="16"/>
      <c r="D251" s="17">
        <v>-1455</v>
      </c>
      <c r="E251" s="18"/>
      <c r="F251" s="15" t="s">
        <v>92</v>
      </c>
    </row>
    <row r="252" spans="1:6" x14ac:dyDescent="0.25">
      <c r="A252" s="15" t="s">
        <v>15</v>
      </c>
      <c r="B252" s="16"/>
      <c r="C252" s="16"/>
      <c r="D252" s="17">
        <v>-528.64</v>
      </c>
      <c r="E252" s="18"/>
      <c r="F252" s="15" t="s">
        <v>74</v>
      </c>
    </row>
    <row r="253" spans="1:6" x14ac:dyDescent="0.25">
      <c r="A253" s="15" t="s">
        <v>15</v>
      </c>
      <c r="B253" s="16"/>
      <c r="C253" s="16"/>
      <c r="D253" s="17">
        <v>-482.09</v>
      </c>
      <c r="E253" s="18"/>
      <c r="F253" s="15" t="s">
        <v>141</v>
      </c>
    </row>
    <row r="254" spans="1:6" x14ac:dyDescent="0.25">
      <c r="A254" s="15" t="s">
        <v>15</v>
      </c>
      <c r="B254" s="16"/>
      <c r="C254" s="16"/>
      <c r="D254" s="17">
        <v>-171</v>
      </c>
      <c r="E254" s="18"/>
      <c r="F254" s="15" t="s">
        <v>142</v>
      </c>
    </row>
    <row r="255" spans="1:6" x14ac:dyDescent="0.25">
      <c r="A255" s="15" t="s">
        <v>15</v>
      </c>
      <c r="B255" s="16">
        <v>1004</v>
      </c>
      <c r="C255" s="16">
        <v>9</v>
      </c>
      <c r="D255" s="17">
        <v>-1042.48</v>
      </c>
      <c r="E255" s="18"/>
      <c r="F255" s="15" t="s">
        <v>33</v>
      </c>
    </row>
    <row r="256" spans="1:6" x14ac:dyDescent="0.25">
      <c r="A256" s="15" t="s">
        <v>15</v>
      </c>
      <c r="B256" s="16"/>
      <c r="C256" s="16"/>
      <c r="D256" s="17">
        <v>-2392.19</v>
      </c>
      <c r="E256" s="18"/>
      <c r="F256" s="15" t="s">
        <v>63</v>
      </c>
    </row>
    <row r="257" spans="1:6" x14ac:dyDescent="0.25">
      <c r="A257" s="15" t="s">
        <v>15</v>
      </c>
      <c r="B257" s="16"/>
      <c r="C257" s="16"/>
      <c r="D257" s="17">
        <v>-204.6</v>
      </c>
      <c r="E257" s="18"/>
      <c r="F257" s="15" t="s">
        <v>143</v>
      </c>
    </row>
    <row r="258" spans="1:6" x14ac:dyDescent="0.25">
      <c r="A258" s="15" t="s">
        <v>15</v>
      </c>
      <c r="B258" s="16"/>
      <c r="C258" s="16"/>
      <c r="D258" s="17">
        <v>-564</v>
      </c>
      <c r="E258" s="18"/>
      <c r="F258" s="15" t="s">
        <v>91</v>
      </c>
    </row>
    <row r="259" spans="1:6" x14ac:dyDescent="0.25">
      <c r="A259" s="15" t="s">
        <v>15</v>
      </c>
      <c r="B259" s="16"/>
      <c r="C259" s="16"/>
      <c r="D259" s="17">
        <v>-1078.7</v>
      </c>
      <c r="E259" s="18"/>
      <c r="F259" s="15" t="s">
        <v>144</v>
      </c>
    </row>
    <row r="260" spans="1:6" x14ac:dyDescent="0.25">
      <c r="A260" s="15" t="s">
        <v>15</v>
      </c>
      <c r="B260" s="16">
        <v>1004</v>
      </c>
      <c r="C260" s="16">
        <v>9</v>
      </c>
      <c r="D260" s="17">
        <v>-274.13</v>
      </c>
      <c r="E260" s="18"/>
      <c r="F260" s="15" t="s">
        <v>45</v>
      </c>
    </row>
    <row r="261" spans="1:6" x14ac:dyDescent="0.25">
      <c r="A261" s="15" t="s">
        <v>15</v>
      </c>
      <c r="B261" s="16"/>
      <c r="C261" s="16"/>
      <c r="D261" s="17">
        <v>-3124.79</v>
      </c>
      <c r="E261" s="18"/>
      <c r="F261" s="15" t="s">
        <v>145</v>
      </c>
    </row>
    <row r="262" spans="1:6" x14ac:dyDescent="0.25">
      <c r="A262" s="15" t="s">
        <v>15</v>
      </c>
      <c r="B262" s="16">
        <v>1004</v>
      </c>
      <c r="C262" s="16">
        <v>9</v>
      </c>
      <c r="D262" s="17">
        <v>-1008.79</v>
      </c>
      <c r="E262" s="18"/>
      <c r="F262" s="15" t="s">
        <v>33</v>
      </c>
    </row>
    <row r="263" spans="1:6" x14ac:dyDescent="0.25">
      <c r="A263" s="11" t="s">
        <v>15</v>
      </c>
      <c r="B263" s="6"/>
      <c r="C263" s="6"/>
      <c r="D263" s="12">
        <v>6596.83</v>
      </c>
      <c r="E263" s="7"/>
      <c r="F263" s="11" t="s">
        <v>146</v>
      </c>
    </row>
    <row r="264" spans="1:6" x14ac:dyDescent="0.25">
      <c r="A264" s="11" t="s">
        <v>15</v>
      </c>
      <c r="B264" s="6"/>
      <c r="C264" s="6"/>
      <c r="D264" s="12">
        <v>2.5</v>
      </c>
      <c r="E264" s="7"/>
      <c r="F264" s="11" t="s">
        <v>147</v>
      </c>
    </row>
    <row r="265" spans="1:6" x14ac:dyDescent="0.25">
      <c r="A265" s="11" t="s">
        <v>15</v>
      </c>
      <c r="B265" s="6"/>
      <c r="C265" s="6"/>
      <c r="D265" s="12">
        <v>109.5</v>
      </c>
      <c r="E265" s="7"/>
      <c r="F265" s="11" t="s">
        <v>148</v>
      </c>
    </row>
    <row r="266" spans="1:6" x14ac:dyDescent="0.25">
      <c r="A266" s="11" t="s">
        <v>15</v>
      </c>
      <c r="B266" s="6"/>
      <c r="C266" s="6"/>
      <c r="D266" s="12">
        <v>380</v>
      </c>
      <c r="E266" s="7"/>
      <c r="F266" s="11" t="s">
        <v>149</v>
      </c>
    </row>
    <row r="267" spans="1:6" x14ac:dyDescent="0.25">
      <c r="A267" s="11" t="s">
        <v>15</v>
      </c>
      <c r="B267" s="6"/>
      <c r="C267" s="6"/>
      <c r="D267" s="12">
        <v>370</v>
      </c>
      <c r="E267" s="7"/>
      <c r="F267" s="11" t="s">
        <v>150</v>
      </c>
    </row>
    <row r="268" spans="1:6" x14ac:dyDescent="0.25">
      <c r="A268" s="11" t="s">
        <v>15</v>
      </c>
      <c r="B268" s="6"/>
      <c r="C268" s="6"/>
      <c r="D268" s="12">
        <v>1740</v>
      </c>
      <c r="E268" s="7"/>
      <c r="F268" s="11" t="s">
        <v>151</v>
      </c>
    </row>
    <row r="269" spans="1:6" x14ac:dyDescent="0.25">
      <c r="A269" s="11" t="s">
        <v>15</v>
      </c>
      <c r="B269" s="6"/>
      <c r="C269" s="6"/>
      <c r="D269" s="12">
        <v>500</v>
      </c>
      <c r="E269" s="7"/>
      <c r="F269" s="11" t="s">
        <v>152</v>
      </c>
    </row>
    <row r="270" spans="1:6" x14ac:dyDescent="0.25">
      <c r="A270" s="11" t="s">
        <v>15</v>
      </c>
      <c r="B270" s="6"/>
      <c r="C270" s="6"/>
      <c r="D270" s="12">
        <v>6000</v>
      </c>
      <c r="E270" s="7"/>
      <c r="F270" s="11" t="s">
        <v>152</v>
      </c>
    </row>
    <row r="271" spans="1:6" x14ac:dyDescent="0.25">
      <c r="A271" s="11" t="s">
        <v>15</v>
      </c>
      <c r="B271" s="6"/>
      <c r="C271" s="6"/>
      <c r="D271" s="12">
        <v>930</v>
      </c>
      <c r="E271" s="7"/>
      <c r="F271" s="11" t="s">
        <v>151</v>
      </c>
    </row>
    <row r="272" spans="1:6" x14ac:dyDescent="0.25">
      <c r="A272" s="15" t="s">
        <v>16</v>
      </c>
      <c r="B272" s="16">
        <v>1025</v>
      </c>
      <c r="C272" s="16">
        <v>9</v>
      </c>
      <c r="D272" s="17">
        <v>-7.56</v>
      </c>
      <c r="E272" s="18"/>
      <c r="F272" s="15" t="s">
        <v>25</v>
      </c>
    </row>
    <row r="273" spans="1:6" x14ac:dyDescent="0.25">
      <c r="A273" s="15" t="s">
        <v>16</v>
      </c>
      <c r="B273" s="16"/>
      <c r="C273" s="16"/>
      <c r="D273" s="17">
        <v>-1234.6300000000001</v>
      </c>
      <c r="E273" s="18"/>
      <c r="F273" s="15" t="s">
        <v>59</v>
      </c>
    </row>
    <row r="274" spans="1:6" x14ac:dyDescent="0.25">
      <c r="A274" s="15" t="s">
        <v>16</v>
      </c>
      <c r="B274" s="16">
        <v>1004</v>
      </c>
      <c r="C274" s="16">
        <v>9</v>
      </c>
      <c r="D274" s="17">
        <v>-1064.25</v>
      </c>
      <c r="E274" s="18"/>
      <c r="F274" s="15" t="s">
        <v>28</v>
      </c>
    </row>
    <row r="275" spans="1:6" x14ac:dyDescent="0.25">
      <c r="A275" s="15" t="s">
        <v>16</v>
      </c>
      <c r="B275" s="16"/>
      <c r="C275" s="16"/>
      <c r="D275" s="17">
        <v>-725.74</v>
      </c>
      <c r="E275" s="18"/>
      <c r="F275" s="15" t="s">
        <v>153</v>
      </c>
    </row>
    <row r="276" spans="1:6" x14ac:dyDescent="0.25">
      <c r="A276" s="15" t="s">
        <v>16</v>
      </c>
      <c r="B276" s="16"/>
      <c r="C276" s="16"/>
      <c r="D276" s="17">
        <v>-929.86</v>
      </c>
      <c r="E276" s="18"/>
      <c r="F276" s="15" t="s">
        <v>69</v>
      </c>
    </row>
    <row r="277" spans="1:6" x14ac:dyDescent="0.25">
      <c r="A277" s="15" t="s">
        <v>16</v>
      </c>
      <c r="B277" s="16"/>
      <c r="C277" s="16"/>
      <c r="D277" s="17">
        <v>-2588.38</v>
      </c>
      <c r="E277" s="18"/>
      <c r="F277" s="15" t="s">
        <v>154</v>
      </c>
    </row>
    <row r="278" spans="1:6" x14ac:dyDescent="0.25">
      <c r="A278" s="15" t="s">
        <v>16</v>
      </c>
      <c r="B278" s="16">
        <v>1004</v>
      </c>
      <c r="C278" s="16">
        <v>9</v>
      </c>
      <c r="D278" s="17">
        <v>-1229.24</v>
      </c>
      <c r="E278" s="18"/>
      <c r="F278" s="15" t="s">
        <v>33</v>
      </c>
    </row>
    <row r="279" spans="1:6" x14ac:dyDescent="0.25">
      <c r="A279" s="15" t="s">
        <v>16</v>
      </c>
      <c r="B279" s="16"/>
      <c r="C279" s="16"/>
      <c r="D279" s="17">
        <v>-511.06</v>
      </c>
      <c r="E279" s="18"/>
      <c r="F279" s="15" t="s">
        <v>155</v>
      </c>
    </row>
    <row r="280" spans="1:6" x14ac:dyDescent="0.25">
      <c r="A280" s="15" t="s">
        <v>16</v>
      </c>
      <c r="B280" s="16">
        <v>1004</v>
      </c>
      <c r="C280" s="16">
        <v>9</v>
      </c>
      <c r="D280" s="17">
        <v>-1006.62</v>
      </c>
      <c r="E280" s="18"/>
      <c r="F280" s="15" t="s">
        <v>33</v>
      </c>
    </row>
    <row r="281" spans="1:6" x14ac:dyDescent="0.25">
      <c r="A281" s="15" t="s">
        <v>16</v>
      </c>
      <c r="B281" s="16">
        <v>1004</v>
      </c>
      <c r="C281" s="16">
        <v>9</v>
      </c>
      <c r="D281" s="17">
        <v>-1590.58</v>
      </c>
      <c r="E281" s="18"/>
      <c r="F281" s="15" t="s">
        <v>62</v>
      </c>
    </row>
    <row r="282" spans="1:6" x14ac:dyDescent="0.25">
      <c r="A282" s="15" t="s">
        <v>16</v>
      </c>
      <c r="B282" s="16"/>
      <c r="C282" s="16"/>
      <c r="D282" s="17">
        <v>-3620</v>
      </c>
      <c r="E282" s="18"/>
      <c r="F282" s="15" t="s">
        <v>156</v>
      </c>
    </row>
    <row r="283" spans="1:6" x14ac:dyDescent="0.25">
      <c r="A283" s="15" t="s">
        <v>16</v>
      </c>
      <c r="B283" s="16"/>
      <c r="C283" s="16"/>
      <c r="D283" s="17">
        <v>-1979.88</v>
      </c>
      <c r="E283" s="18"/>
      <c r="F283" s="15" t="s">
        <v>49</v>
      </c>
    </row>
    <row r="284" spans="1:6" x14ac:dyDescent="0.25">
      <c r="A284" s="15" t="s">
        <v>16</v>
      </c>
      <c r="B284" s="16"/>
      <c r="C284" s="16"/>
      <c r="D284" s="17">
        <v>-2584.83</v>
      </c>
      <c r="E284" s="18"/>
      <c r="F284" s="15" t="s">
        <v>100</v>
      </c>
    </row>
    <row r="285" spans="1:6" x14ac:dyDescent="0.25">
      <c r="A285" s="11" t="s">
        <v>16</v>
      </c>
      <c r="B285" s="6"/>
      <c r="C285" s="6"/>
      <c r="D285" s="12">
        <v>8063.04</v>
      </c>
      <c r="E285" s="7"/>
      <c r="F285" s="11" t="s">
        <v>157</v>
      </c>
    </row>
    <row r="286" spans="1:6" x14ac:dyDescent="0.25">
      <c r="A286" s="11" t="s">
        <v>16</v>
      </c>
      <c r="B286" s="6"/>
      <c r="C286" s="6"/>
      <c r="D286" s="12">
        <v>101.29</v>
      </c>
      <c r="E286" s="7"/>
      <c r="F286" s="11" t="s">
        <v>38</v>
      </c>
    </row>
    <row r="287" spans="1:6" x14ac:dyDescent="0.25">
      <c r="A287" s="11" t="s">
        <v>16</v>
      </c>
      <c r="B287" s="6"/>
      <c r="C287" s="6"/>
      <c r="D287" s="12">
        <v>173.3</v>
      </c>
      <c r="E287" s="7"/>
      <c r="F287" s="11" t="s">
        <v>158</v>
      </c>
    </row>
    <row r="288" spans="1:6" x14ac:dyDescent="0.25">
      <c r="A288" s="11" t="s">
        <v>16</v>
      </c>
      <c r="B288" s="6"/>
      <c r="C288" s="6"/>
      <c r="D288" s="12">
        <v>165</v>
      </c>
      <c r="E288" s="7"/>
      <c r="F288" s="11" t="s">
        <v>159</v>
      </c>
    </row>
    <row r="289" spans="1:6" x14ac:dyDescent="0.25">
      <c r="A289" s="11" t="s">
        <v>16</v>
      </c>
      <c r="B289" s="6"/>
      <c r="C289" s="6"/>
      <c r="D289" s="12">
        <v>570</v>
      </c>
      <c r="E289" s="7"/>
      <c r="F289" s="11" t="s">
        <v>160</v>
      </c>
    </row>
    <row r="290" spans="1:6" x14ac:dyDescent="0.25">
      <c r="A290" s="11" t="s">
        <v>16</v>
      </c>
      <c r="B290" s="6"/>
      <c r="C290" s="6"/>
      <c r="D290" s="12">
        <v>10000</v>
      </c>
      <c r="E290" s="7"/>
      <c r="F290" s="11" t="s">
        <v>161</v>
      </c>
    </row>
    <row r="291" spans="1:6" x14ac:dyDescent="0.25">
      <c r="A291" s="15" t="s">
        <v>17</v>
      </c>
      <c r="B291" s="16"/>
      <c r="C291" s="16"/>
      <c r="D291" s="17">
        <v>-920.68</v>
      </c>
      <c r="E291" s="18"/>
      <c r="F291" s="15" t="s">
        <v>162</v>
      </c>
    </row>
    <row r="292" spans="1:6" x14ac:dyDescent="0.25">
      <c r="A292" s="15" t="s">
        <v>17</v>
      </c>
      <c r="B292" s="16"/>
      <c r="C292" s="16"/>
      <c r="D292" s="17">
        <v>-200</v>
      </c>
      <c r="E292" s="18"/>
      <c r="F292" s="15" t="s">
        <v>162</v>
      </c>
    </row>
    <row r="293" spans="1:6" x14ac:dyDescent="0.25">
      <c r="A293" s="15" t="s">
        <v>17</v>
      </c>
      <c r="B293" s="16"/>
      <c r="C293" s="16"/>
      <c r="D293" s="17">
        <v>-17592.900000000001</v>
      </c>
      <c r="E293" s="18"/>
      <c r="F293" s="15" t="s">
        <v>99</v>
      </c>
    </row>
    <row r="294" spans="1:6" x14ac:dyDescent="0.25">
      <c r="A294" s="15" t="s">
        <v>17</v>
      </c>
      <c r="B294" s="16">
        <v>1025</v>
      </c>
      <c r="C294" s="16">
        <v>9</v>
      </c>
      <c r="D294" s="17">
        <v>-28.32</v>
      </c>
      <c r="E294" s="18"/>
      <c r="F294" s="15" t="s">
        <v>25</v>
      </c>
    </row>
    <row r="295" spans="1:6" x14ac:dyDescent="0.25">
      <c r="A295" s="15" t="s">
        <v>17</v>
      </c>
      <c r="B295" s="16"/>
      <c r="C295" s="16"/>
      <c r="D295" s="17">
        <v>-370.5</v>
      </c>
      <c r="E295" s="18"/>
      <c r="F295" s="15" t="s">
        <v>163</v>
      </c>
    </row>
    <row r="296" spans="1:6" x14ac:dyDescent="0.25">
      <c r="A296" s="15" t="s">
        <v>17</v>
      </c>
      <c r="B296" s="16"/>
      <c r="C296" s="16"/>
      <c r="D296" s="17">
        <v>-445</v>
      </c>
      <c r="E296" s="18"/>
      <c r="F296" s="15" t="s">
        <v>73</v>
      </c>
    </row>
    <row r="297" spans="1:6" x14ac:dyDescent="0.25">
      <c r="A297" s="15" t="s">
        <v>17</v>
      </c>
      <c r="B297" s="16"/>
      <c r="C297" s="16"/>
      <c r="D297" s="17">
        <v>-582.61</v>
      </c>
      <c r="E297" s="18"/>
      <c r="F297" s="15" t="s">
        <v>67</v>
      </c>
    </row>
    <row r="298" spans="1:6" x14ac:dyDescent="0.25">
      <c r="A298" s="15" t="s">
        <v>17</v>
      </c>
      <c r="B298" s="16"/>
      <c r="C298" s="16"/>
      <c r="D298" s="17">
        <v>-788</v>
      </c>
      <c r="E298" s="18"/>
      <c r="F298" s="15" t="s">
        <v>70</v>
      </c>
    </row>
    <row r="299" spans="1:6" x14ac:dyDescent="0.25">
      <c r="A299" s="15" t="s">
        <v>17</v>
      </c>
      <c r="B299" s="16">
        <v>1004</v>
      </c>
      <c r="C299" s="16">
        <v>9</v>
      </c>
      <c r="D299" s="17">
        <v>-1040.9100000000001</v>
      </c>
      <c r="E299" s="18"/>
      <c r="F299" s="15" t="s">
        <v>33</v>
      </c>
    </row>
    <row r="300" spans="1:6" x14ac:dyDescent="0.25">
      <c r="A300" s="15" t="s">
        <v>17</v>
      </c>
      <c r="B300" s="16"/>
      <c r="C300" s="16"/>
      <c r="D300" s="17">
        <v>-761.96</v>
      </c>
      <c r="E300" s="18"/>
      <c r="F300" s="15" t="s">
        <v>101</v>
      </c>
    </row>
    <row r="301" spans="1:6" x14ac:dyDescent="0.25">
      <c r="A301" s="15" t="s">
        <v>17</v>
      </c>
      <c r="B301" s="16"/>
      <c r="C301" s="16"/>
      <c r="D301" s="17">
        <v>-1985.77</v>
      </c>
      <c r="E301" s="18"/>
      <c r="F301" s="15" t="s">
        <v>164</v>
      </c>
    </row>
    <row r="302" spans="1:6" x14ac:dyDescent="0.25">
      <c r="A302" s="15" t="s">
        <v>17</v>
      </c>
      <c r="B302" s="16">
        <v>1004</v>
      </c>
      <c r="C302" s="16">
        <v>9</v>
      </c>
      <c r="D302" s="17">
        <v>-1318.67</v>
      </c>
      <c r="E302" s="18"/>
      <c r="F302" s="15" t="s">
        <v>45</v>
      </c>
    </row>
    <row r="303" spans="1:6" x14ac:dyDescent="0.25">
      <c r="A303" s="15" t="s">
        <v>17</v>
      </c>
      <c r="B303" s="16"/>
      <c r="C303" s="16"/>
      <c r="D303" s="17">
        <v>-3275.2</v>
      </c>
      <c r="E303" s="18"/>
      <c r="F303" s="15" t="s">
        <v>165</v>
      </c>
    </row>
    <row r="304" spans="1:6" x14ac:dyDescent="0.25">
      <c r="A304" s="15" t="s">
        <v>17</v>
      </c>
      <c r="B304" s="16">
        <v>1004</v>
      </c>
      <c r="C304" s="16">
        <v>9</v>
      </c>
      <c r="D304" s="17">
        <v>-1281.05</v>
      </c>
      <c r="E304" s="18"/>
      <c r="F304" s="15" t="s">
        <v>33</v>
      </c>
    </row>
    <row r="305" spans="1:6" x14ac:dyDescent="0.25">
      <c r="A305" s="15" t="s">
        <v>17</v>
      </c>
      <c r="B305" s="16"/>
      <c r="C305" s="16"/>
      <c r="D305" s="17">
        <v>-1075.5899999999999</v>
      </c>
      <c r="E305" s="18"/>
      <c r="F305" s="15" t="s">
        <v>74</v>
      </c>
    </row>
    <row r="306" spans="1:6" x14ac:dyDescent="0.25">
      <c r="A306" s="15" t="s">
        <v>17</v>
      </c>
      <c r="B306" s="16"/>
      <c r="C306" s="16"/>
      <c r="D306" s="17">
        <v>-2478.16</v>
      </c>
      <c r="E306" s="18"/>
      <c r="F306" s="15" t="s">
        <v>84</v>
      </c>
    </row>
    <row r="307" spans="1:6" x14ac:dyDescent="0.25">
      <c r="A307" s="15" t="s">
        <v>17</v>
      </c>
      <c r="B307" s="16">
        <v>1004</v>
      </c>
      <c r="C307" s="16">
        <v>9</v>
      </c>
      <c r="D307" s="17">
        <v>-349.91</v>
      </c>
      <c r="E307" s="18"/>
      <c r="F307" s="15" t="s">
        <v>31</v>
      </c>
    </row>
    <row r="308" spans="1:6" x14ac:dyDescent="0.25">
      <c r="A308" s="15" t="s">
        <v>17</v>
      </c>
      <c r="B308" s="16">
        <v>1004</v>
      </c>
      <c r="C308" s="16">
        <v>9</v>
      </c>
      <c r="D308" s="17">
        <v>-742.27</v>
      </c>
      <c r="E308" s="18"/>
      <c r="F308" s="15" t="s">
        <v>28</v>
      </c>
    </row>
    <row r="309" spans="1:6" x14ac:dyDescent="0.25">
      <c r="A309" s="15" t="s">
        <v>17</v>
      </c>
      <c r="B309" s="16">
        <v>1004</v>
      </c>
      <c r="C309" s="16">
        <v>9</v>
      </c>
      <c r="D309" s="17">
        <v>-708.33</v>
      </c>
      <c r="E309" s="18"/>
      <c r="F309" s="15" t="s">
        <v>62</v>
      </c>
    </row>
    <row r="310" spans="1:6" x14ac:dyDescent="0.25">
      <c r="A310" s="15" t="s">
        <v>17</v>
      </c>
      <c r="B310" s="16">
        <v>1004</v>
      </c>
      <c r="C310" s="16">
        <v>9</v>
      </c>
      <c r="D310" s="17">
        <v>-143.63</v>
      </c>
      <c r="E310" s="18"/>
      <c r="F310" s="15" t="s">
        <v>45</v>
      </c>
    </row>
    <row r="311" spans="1:6" x14ac:dyDescent="0.25">
      <c r="A311" s="15" t="s">
        <v>17</v>
      </c>
      <c r="B311" s="16">
        <v>1004</v>
      </c>
      <c r="C311" s="16">
        <v>9</v>
      </c>
      <c r="D311" s="17">
        <v>-1011.89</v>
      </c>
      <c r="E311" s="18"/>
      <c r="F311" s="15" t="s">
        <v>33</v>
      </c>
    </row>
    <row r="312" spans="1:6" x14ac:dyDescent="0.25">
      <c r="A312" s="15" t="s">
        <v>17</v>
      </c>
      <c r="B312" s="16">
        <v>1004</v>
      </c>
      <c r="C312" s="16">
        <v>9</v>
      </c>
      <c r="D312" s="17">
        <v>-530.49</v>
      </c>
      <c r="E312" s="18"/>
      <c r="F312" s="15" t="s">
        <v>45</v>
      </c>
    </row>
    <row r="313" spans="1:6" x14ac:dyDescent="0.25">
      <c r="A313" s="15" t="s">
        <v>17</v>
      </c>
      <c r="B313" s="16"/>
      <c r="C313" s="16"/>
      <c r="D313" s="17">
        <v>-1626.96</v>
      </c>
      <c r="E313" s="18"/>
      <c r="F313" s="15" t="s">
        <v>145</v>
      </c>
    </row>
    <row r="314" spans="1:6" x14ac:dyDescent="0.25">
      <c r="A314" s="15" t="s">
        <v>17</v>
      </c>
      <c r="B314" s="16"/>
      <c r="C314" s="16"/>
      <c r="D314" s="17">
        <v>-1081.98</v>
      </c>
      <c r="E314" s="18"/>
      <c r="F314" s="15" t="s">
        <v>69</v>
      </c>
    </row>
    <row r="315" spans="1:6" x14ac:dyDescent="0.25">
      <c r="A315" s="15" t="s">
        <v>17</v>
      </c>
      <c r="B315" s="16">
        <v>1004</v>
      </c>
      <c r="C315" s="16">
        <v>9</v>
      </c>
      <c r="D315" s="17">
        <v>-2112.58</v>
      </c>
      <c r="E315" s="18"/>
      <c r="F315" s="15" t="s">
        <v>31</v>
      </c>
    </row>
    <row r="316" spans="1:6" x14ac:dyDescent="0.25">
      <c r="A316" s="15" t="s">
        <v>17</v>
      </c>
      <c r="B316" s="16"/>
      <c r="C316" s="16"/>
      <c r="D316" s="17">
        <v>-1050</v>
      </c>
      <c r="E316" s="18"/>
      <c r="F316" s="15" t="s">
        <v>166</v>
      </c>
    </row>
    <row r="317" spans="1:6" x14ac:dyDescent="0.25">
      <c r="A317" s="11" t="s">
        <v>17</v>
      </c>
      <c r="B317" s="6"/>
      <c r="C317" s="6"/>
      <c r="D317" s="12">
        <v>2040.34</v>
      </c>
      <c r="E317" s="7"/>
      <c r="F317" s="11" t="s">
        <v>167</v>
      </c>
    </row>
    <row r="318" spans="1:6" x14ac:dyDescent="0.25">
      <c r="A318" s="11" t="s">
        <v>17</v>
      </c>
      <c r="B318" s="6"/>
      <c r="C318" s="6"/>
      <c r="D318" s="12">
        <v>6338.37</v>
      </c>
      <c r="E318" s="7"/>
      <c r="F318" s="11" t="s">
        <v>36</v>
      </c>
    </row>
    <row r="319" spans="1:6" x14ac:dyDescent="0.25">
      <c r="A319" s="11" t="s">
        <v>17</v>
      </c>
      <c r="B319" s="6"/>
      <c r="C319" s="6"/>
      <c r="D319" s="12">
        <v>165.51</v>
      </c>
      <c r="E319" s="7"/>
      <c r="F319" s="11" t="s">
        <v>38</v>
      </c>
    </row>
    <row r="320" spans="1:6" x14ac:dyDescent="0.25">
      <c r="A320" s="11" t="s">
        <v>17</v>
      </c>
      <c r="B320" s="6"/>
      <c r="C320" s="6"/>
      <c r="D320" s="12">
        <v>10.8</v>
      </c>
      <c r="E320" s="7"/>
      <c r="F320" s="11" t="s">
        <v>37</v>
      </c>
    </row>
    <row r="321" spans="1:6" x14ac:dyDescent="0.25">
      <c r="A321" s="11" t="s">
        <v>17</v>
      </c>
      <c r="B321" s="6"/>
      <c r="C321" s="6"/>
      <c r="D321" s="12">
        <v>553.29999999999995</v>
      </c>
      <c r="E321" s="7"/>
      <c r="F321" s="11" t="s">
        <v>168</v>
      </c>
    </row>
    <row r="322" spans="1:6" x14ac:dyDescent="0.25">
      <c r="A322" s="11" t="s">
        <v>17</v>
      </c>
      <c r="B322" s="6"/>
      <c r="C322" s="6"/>
      <c r="D322" s="12">
        <v>0.04</v>
      </c>
      <c r="E322" s="7"/>
      <c r="F322" s="11" t="s">
        <v>39</v>
      </c>
    </row>
    <row r="323" spans="1:6" x14ac:dyDescent="0.25">
      <c r="A323" s="11" t="s">
        <v>17</v>
      </c>
      <c r="B323" s="6"/>
      <c r="C323" s="6"/>
      <c r="D323" s="12">
        <v>1318</v>
      </c>
      <c r="E323" s="7"/>
      <c r="F323" s="11" t="s">
        <v>169</v>
      </c>
    </row>
    <row r="324" spans="1:6" x14ac:dyDescent="0.25">
      <c r="A324" s="11" t="s">
        <v>17</v>
      </c>
      <c r="B324" s="6"/>
      <c r="C324" s="6"/>
      <c r="D324" s="12">
        <v>374</v>
      </c>
      <c r="E324" s="7"/>
      <c r="F324" s="11" t="s">
        <v>170</v>
      </c>
    </row>
    <row r="325" spans="1:6" x14ac:dyDescent="0.25">
      <c r="A325" s="11" t="s">
        <v>17</v>
      </c>
      <c r="B325" s="6"/>
      <c r="C325" s="6"/>
      <c r="D325" s="12">
        <v>430.9</v>
      </c>
      <c r="E325" s="7"/>
      <c r="F325" s="11" t="s">
        <v>171</v>
      </c>
    </row>
    <row r="326" spans="1:6" x14ac:dyDescent="0.25">
      <c r="A326" s="11" t="s">
        <v>17</v>
      </c>
      <c r="B326" s="6"/>
      <c r="C326" s="6"/>
      <c r="D326" s="12">
        <v>139.80000000000001</v>
      </c>
      <c r="E326" s="7"/>
      <c r="F326" s="11" t="s">
        <v>172</v>
      </c>
    </row>
    <row r="327" spans="1:6" x14ac:dyDescent="0.25">
      <c r="A327" s="11" t="s">
        <v>17</v>
      </c>
      <c r="B327" s="6"/>
      <c r="C327" s="6"/>
      <c r="D327" s="12">
        <v>500</v>
      </c>
      <c r="E327" s="7"/>
      <c r="F327" s="11" t="s">
        <v>173</v>
      </c>
    </row>
    <row r="328" spans="1:6" x14ac:dyDescent="0.25">
      <c r="A328" s="11" t="s">
        <v>17</v>
      </c>
      <c r="B328" s="6"/>
      <c r="C328" s="6"/>
      <c r="D328" s="12">
        <v>668.7</v>
      </c>
      <c r="E328" s="7"/>
      <c r="F328" s="11" t="s">
        <v>174</v>
      </c>
    </row>
    <row r="329" spans="1:6" x14ac:dyDescent="0.25">
      <c r="A329" s="11" t="s">
        <v>17</v>
      </c>
      <c r="B329" s="6"/>
      <c r="C329" s="6"/>
      <c r="D329" s="12">
        <v>929.8</v>
      </c>
      <c r="E329" s="7"/>
      <c r="F329" s="11" t="s">
        <v>175</v>
      </c>
    </row>
    <row r="330" spans="1:6" x14ac:dyDescent="0.25">
      <c r="A330" s="11" t="s">
        <v>17</v>
      </c>
      <c r="B330" s="6"/>
      <c r="C330" s="6"/>
      <c r="D330" s="12">
        <v>23.8</v>
      </c>
      <c r="E330" s="7"/>
      <c r="F330" s="11" t="s">
        <v>176</v>
      </c>
    </row>
    <row r="331" spans="1:6" x14ac:dyDescent="0.25">
      <c r="A331" s="11" t="s">
        <v>17</v>
      </c>
      <c r="B331" s="6"/>
      <c r="C331" s="6"/>
      <c r="D331" s="12">
        <v>7437</v>
      </c>
      <c r="E331" s="7"/>
      <c r="F331" s="11" t="s">
        <v>177</v>
      </c>
    </row>
    <row r="332" spans="1:6" x14ac:dyDescent="0.25">
      <c r="A332" s="11" t="s">
        <v>17</v>
      </c>
      <c r="B332" s="6"/>
      <c r="C332" s="6"/>
      <c r="D332" s="12">
        <v>3420</v>
      </c>
      <c r="E332" s="7"/>
      <c r="F332" s="11" t="s">
        <v>178</v>
      </c>
    </row>
    <row r="333" spans="1:6" x14ac:dyDescent="0.25">
      <c r="A333" s="11" t="s">
        <v>17</v>
      </c>
      <c r="B333" s="6"/>
      <c r="C333" s="6"/>
      <c r="D333" s="12">
        <v>7390</v>
      </c>
      <c r="E333" s="7"/>
      <c r="F333" s="11" t="s">
        <v>177</v>
      </c>
    </row>
    <row r="334" spans="1:6" x14ac:dyDescent="0.25">
      <c r="A334" s="11" t="s">
        <v>17</v>
      </c>
      <c r="B334" s="6"/>
      <c r="C334" s="6"/>
      <c r="D334" s="12">
        <v>11763</v>
      </c>
      <c r="E334" s="7"/>
      <c r="F334" s="11" t="s">
        <v>177</v>
      </c>
    </row>
    <row r="335" spans="1:6" x14ac:dyDescent="0.25">
      <c r="A335" s="15" t="s">
        <v>18</v>
      </c>
      <c r="B335" s="16">
        <v>1025</v>
      </c>
      <c r="C335" s="16">
        <v>9</v>
      </c>
      <c r="D335" s="17">
        <v>-7.56</v>
      </c>
      <c r="E335" s="18"/>
      <c r="F335" s="15" t="s">
        <v>25</v>
      </c>
    </row>
    <row r="336" spans="1:6" x14ac:dyDescent="0.25">
      <c r="A336" s="15" t="s">
        <v>18</v>
      </c>
      <c r="B336" s="16">
        <v>1004</v>
      </c>
      <c r="C336" s="16">
        <v>9</v>
      </c>
      <c r="D336" s="17">
        <v>-543.38</v>
      </c>
      <c r="E336" s="18"/>
      <c r="F336" s="15" t="s">
        <v>31</v>
      </c>
    </row>
    <row r="337" spans="1:6" x14ac:dyDescent="0.25">
      <c r="A337" s="15" t="s">
        <v>18</v>
      </c>
      <c r="B337" s="16"/>
      <c r="C337" s="16"/>
      <c r="D337" s="17">
        <v>-2358.58</v>
      </c>
      <c r="E337" s="18"/>
      <c r="F337" s="15" t="s">
        <v>69</v>
      </c>
    </row>
    <row r="338" spans="1:6" x14ac:dyDescent="0.25">
      <c r="A338" s="15" t="s">
        <v>18</v>
      </c>
      <c r="B338" s="16">
        <v>1004</v>
      </c>
      <c r="C338" s="16">
        <v>9</v>
      </c>
      <c r="D338" s="17">
        <v>-314.02</v>
      </c>
      <c r="E338" s="18"/>
      <c r="F338" s="15" t="s">
        <v>26</v>
      </c>
    </row>
    <row r="339" spans="1:6" x14ac:dyDescent="0.25">
      <c r="A339" s="15" t="s">
        <v>18</v>
      </c>
      <c r="B339" s="16">
        <v>1004</v>
      </c>
      <c r="C339" s="16">
        <v>9</v>
      </c>
      <c r="D339" s="17">
        <v>-238.5</v>
      </c>
      <c r="E339" s="18"/>
      <c r="F339" s="15" t="s">
        <v>26</v>
      </c>
    </row>
    <row r="340" spans="1:6" x14ac:dyDescent="0.25">
      <c r="A340" s="15" t="s">
        <v>18</v>
      </c>
      <c r="B340" s="16"/>
      <c r="C340" s="16"/>
      <c r="D340" s="17">
        <v>-948</v>
      </c>
      <c r="E340" s="18"/>
      <c r="F340" s="15" t="s">
        <v>179</v>
      </c>
    </row>
    <row r="341" spans="1:6" x14ac:dyDescent="0.25">
      <c r="A341" s="15" t="s">
        <v>18</v>
      </c>
      <c r="B341" s="16">
        <v>1004</v>
      </c>
      <c r="C341" s="16">
        <v>9</v>
      </c>
      <c r="D341" s="17">
        <v>-1461.73</v>
      </c>
      <c r="E341" s="18"/>
      <c r="F341" s="15" t="s">
        <v>33</v>
      </c>
    </row>
    <row r="342" spans="1:6" x14ac:dyDescent="0.25">
      <c r="A342" s="15" t="s">
        <v>18</v>
      </c>
      <c r="B342" s="16">
        <v>1004</v>
      </c>
      <c r="C342" s="16">
        <v>9</v>
      </c>
      <c r="D342" s="17">
        <v>-380.92</v>
      </c>
      <c r="E342" s="18"/>
      <c r="F342" s="15" t="s">
        <v>62</v>
      </c>
    </row>
    <row r="343" spans="1:6" x14ac:dyDescent="0.25">
      <c r="A343" s="15" t="s">
        <v>18</v>
      </c>
      <c r="B343" s="16"/>
      <c r="C343" s="16"/>
      <c r="D343" s="17">
        <v>-482.12</v>
      </c>
      <c r="E343" s="18"/>
      <c r="F343" s="15" t="s">
        <v>180</v>
      </c>
    </row>
    <row r="344" spans="1:6" x14ac:dyDescent="0.25">
      <c r="A344" s="15" t="s">
        <v>18</v>
      </c>
      <c r="B344" s="16"/>
      <c r="C344" s="16"/>
      <c r="D344" s="17">
        <v>-369.79</v>
      </c>
      <c r="E344" s="18"/>
      <c r="F344" s="15" t="s">
        <v>71</v>
      </c>
    </row>
    <row r="345" spans="1:6" x14ac:dyDescent="0.25">
      <c r="A345" s="15" t="s">
        <v>18</v>
      </c>
      <c r="B345" s="16">
        <v>1004</v>
      </c>
      <c r="C345" s="16">
        <v>9</v>
      </c>
      <c r="D345" s="17">
        <v>-1301.3800000000001</v>
      </c>
      <c r="E345" s="18"/>
      <c r="F345" s="15" t="s">
        <v>32</v>
      </c>
    </row>
    <row r="346" spans="1:6" x14ac:dyDescent="0.25">
      <c r="A346" s="15" t="s">
        <v>18</v>
      </c>
      <c r="B346" s="16"/>
      <c r="C346" s="16"/>
      <c r="D346" s="17">
        <v>-625.29999999999995</v>
      </c>
      <c r="E346" s="18"/>
      <c r="F346" s="15" t="s">
        <v>67</v>
      </c>
    </row>
    <row r="347" spans="1:6" x14ac:dyDescent="0.25">
      <c r="A347" s="15" t="s">
        <v>18</v>
      </c>
      <c r="B347" s="16">
        <v>1004</v>
      </c>
      <c r="C347" s="16">
        <v>9</v>
      </c>
      <c r="D347" s="17">
        <v>-885.52</v>
      </c>
      <c r="E347" s="18"/>
      <c r="F347" s="15" t="s">
        <v>26</v>
      </c>
    </row>
    <row r="348" spans="1:6" x14ac:dyDescent="0.25">
      <c r="A348" s="15" t="s">
        <v>18</v>
      </c>
      <c r="B348" s="16">
        <v>1004</v>
      </c>
      <c r="C348" s="16">
        <v>9</v>
      </c>
      <c r="D348" s="17">
        <v>-1779.99</v>
      </c>
      <c r="E348" s="18"/>
      <c r="F348" s="15" t="s">
        <v>181</v>
      </c>
    </row>
    <row r="349" spans="1:6" x14ac:dyDescent="0.25">
      <c r="A349" s="15" t="s">
        <v>18</v>
      </c>
      <c r="B349" s="16">
        <v>1004</v>
      </c>
      <c r="C349" s="16">
        <v>9</v>
      </c>
      <c r="D349" s="17">
        <v>-1492.06</v>
      </c>
      <c r="E349" s="18"/>
      <c r="F349" s="15" t="s">
        <v>33</v>
      </c>
    </row>
    <row r="350" spans="1:6" x14ac:dyDescent="0.25">
      <c r="A350" s="15" t="s">
        <v>18</v>
      </c>
      <c r="B350" s="16">
        <v>1004</v>
      </c>
      <c r="C350" s="16">
        <v>9</v>
      </c>
      <c r="D350" s="17">
        <v>-1443.75</v>
      </c>
      <c r="E350" s="18"/>
      <c r="F350" s="15" t="s">
        <v>33</v>
      </c>
    </row>
    <row r="351" spans="1:6" x14ac:dyDescent="0.25">
      <c r="A351" s="15" t="s">
        <v>18</v>
      </c>
      <c r="B351" s="16">
        <v>1004</v>
      </c>
      <c r="C351" s="16">
        <v>9</v>
      </c>
      <c r="D351" s="17">
        <v>-795.95</v>
      </c>
      <c r="E351" s="18"/>
      <c r="F351" s="15" t="s">
        <v>28</v>
      </c>
    </row>
    <row r="352" spans="1:6" x14ac:dyDescent="0.25">
      <c r="A352" s="15" t="s">
        <v>18</v>
      </c>
      <c r="B352" s="16">
        <v>1004</v>
      </c>
      <c r="C352" s="16">
        <v>9</v>
      </c>
      <c r="D352" s="17">
        <v>-3407.72</v>
      </c>
      <c r="E352" s="18"/>
      <c r="F352" s="15" t="s">
        <v>31</v>
      </c>
    </row>
    <row r="353" spans="1:6" x14ac:dyDescent="0.25">
      <c r="A353" s="15" t="s">
        <v>18</v>
      </c>
      <c r="B353" s="16">
        <v>1004</v>
      </c>
      <c r="C353" s="16">
        <v>9</v>
      </c>
      <c r="D353" s="17">
        <v>-1002.8</v>
      </c>
      <c r="E353" s="18"/>
      <c r="F353" s="15" t="s">
        <v>33</v>
      </c>
    </row>
    <row r="354" spans="1:6" x14ac:dyDescent="0.25">
      <c r="A354" s="15" t="s">
        <v>18</v>
      </c>
      <c r="B354" s="16"/>
      <c r="C354" s="16"/>
      <c r="D354" s="17">
        <v>-655.7</v>
      </c>
      <c r="E354" s="18"/>
      <c r="F354" s="15" t="s">
        <v>182</v>
      </c>
    </row>
    <row r="355" spans="1:6" x14ac:dyDescent="0.25">
      <c r="A355" s="15" t="s">
        <v>18</v>
      </c>
      <c r="B355" s="16">
        <v>1004</v>
      </c>
      <c r="C355" s="16">
        <v>9</v>
      </c>
      <c r="D355" s="17">
        <v>-769.02</v>
      </c>
      <c r="E355" s="18"/>
      <c r="F355" s="15" t="s">
        <v>26</v>
      </c>
    </row>
    <row r="356" spans="1:6" x14ac:dyDescent="0.25">
      <c r="A356" s="15" t="s">
        <v>18</v>
      </c>
      <c r="B356" s="16"/>
      <c r="C356" s="16"/>
      <c r="D356" s="17">
        <v>-897.82</v>
      </c>
      <c r="E356" s="18"/>
      <c r="F356" s="15" t="s">
        <v>90</v>
      </c>
    </row>
    <row r="357" spans="1:6" x14ac:dyDescent="0.25">
      <c r="A357" s="15" t="s">
        <v>18</v>
      </c>
      <c r="B357" s="16">
        <v>1004</v>
      </c>
      <c r="C357" s="16">
        <v>9</v>
      </c>
      <c r="D357" s="17">
        <v>-921.48</v>
      </c>
      <c r="E357" s="18"/>
      <c r="F357" s="15" t="s">
        <v>62</v>
      </c>
    </row>
    <row r="358" spans="1:6" x14ac:dyDescent="0.25">
      <c r="A358" s="15" t="s">
        <v>18</v>
      </c>
      <c r="B358" s="16">
        <v>1004</v>
      </c>
      <c r="C358" s="16">
        <v>9</v>
      </c>
      <c r="D358" s="17">
        <v>-1889.64</v>
      </c>
      <c r="E358" s="18"/>
      <c r="F358" s="15" t="s">
        <v>33</v>
      </c>
    </row>
    <row r="359" spans="1:6" x14ac:dyDescent="0.25">
      <c r="A359" s="15" t="s">
        <v>18</v>
      </c>
      <c r="B359" s="16">
        <v>1004</v>
      </c>
      <c r="C359" s="16">
        <v>9</v>
      </c>
      <c r="D359" s="17">
        <v>-1229.5</v>
      </c>
      <c r="E359" s="18"/>
      <c r="F359" s="15" t="s">
        <v>33</v>
      </c>
    </row>
    <row r="360" spans="1:6" x14ac:dyDescent="0.25">
      <c r="A360" s="15" t="s">
        <v>18</v>
      </c>
      <c r="B360" s="16">
        <v>1004</v>
      </c>
      <c r="C360" s="16">
        <v>9</v>
      </c>
      <c r="D360" s="17">
        <v>-1245.04</v>
      </c>
      <c r="E360" s="18"/>
      <c r="F360" s="15" t="s">
        <v>33</v>
      </c>
    </row>
    <row r="361" spans="1:6" x14ac:dyDescent="0.25">
      <c r="A361" s="15" t="s">
        <v>18</v>
      </c>
      <c r="B361" s="16"/>
      <c r="C361" s="16"/>
      <c r="D361" s="17">
        <v>-3264.66</v>
      </c>
      <c r="E361" s="18"/>
      <c r="F361" s="15" t="s">
        <v>183</v>
      </c>
    </row>
    <row r="362" spans="1:6" x14ac:dyDescent="0.25">
      <c r="A362" s="15" t="s">
        <v>18</v>
      </c>
      <c r="B362" s="16">
        <v>1004</v>
      </c>
      <c r="C362" s="16">
        <v>9</v>
      </c>
      <c r="D362" s="17">
        <v>-628.04</v>
      </c>
      <c r="E362" s="18"/>
      <c r="F362" s="15" t="s">
        <v>26</v>
      </c>
    </row>
    <row r="363" spans="1:6" x14ac:dyDescent="0.25">
      <c r="A363" s="15" t="s">
        <v>18</v>
      </c>
      <c r="B363" s="16"/>
      <c r="C363" s="16"/>
      <c r="D363" s="17">
        <v>-1350.58</v>
      </c>
      <c r="E363" s="18"/>
      <c r="F363" s="15" t="s">
        <v>84</v>
      </c>
    </row>
    <row r="364" spans="1:6" x14ac:dyDescent="0.25">
      <c r="A364" s="15" t="s">
        <v>18</v>
      </c>
      <c r="B364" s="16">
        <v>1004</v>
      </c>
      <c r="C364" s="16">
        <v>9</v>
      </c>
      <c r="D364" s="17">
        <v>-477.49</v>
      </c>
      <c r="E364" s="18"/>
      <c r="F364" s="15" t="s">
        <v>28</v>
      </c>
    </row>
    <row r="365" spans="1:6" x14ac:dyDescent="0.25">
      <c r="A365" s="15" t="s">
        <v>18</v>
      </c>
      <c r="B365" s="16">
        <v>1004</v>
      </c>
      <c r="C365" s="16">
        <v>9</v>
      </c>
      <c r="D365" s="17">
        <v>-213.43</v>
      </c>
      <c r="E365" s="18"/>
      <c r="F365" s="15" t="s">
        <v>62</v>
      </c>
    </row>
    <row r="366" spans="1:6" x14ac:dyDescent="0.25">
      <c r="A366" s="15" t="s">
        <v>18</v>
      </c>
      <c r="B366" s="16">
        <v>1004</v>
      </c>
      <c r="C366" s="16">
        <v>9</v>
      </c>
      <c r="D366" s="17">
        <v>-642.69000000000005</v>
      </c>
      <c r="E366" s="18"/>
      <c r="F366" s="15" t="s">
        <v>28</v>
      </c>
    </row>
    <row r="367" spans="1:6" x14ac:dyDescent="0.25">
      <c r="A367" s="11" t="s">
        <v>18</v>
      </c>
      <c r="B367" s="6"/>
      <c r="C367" s="6"/>
      <c r="D367" s="12">
        <v>2654.12</v>
      </c>
      <c r="E367" s="7"/>
      <c r="F367" s="11" t="s">
        <v>184</v>
      </c>
    </row>
    <row r="368" spans="1:6" x14ac:dyDescent="0.25">
      <c r="A368" s="11" t="s">
        <v>18</v>
      </c>
      <c r="B368" s="6"/>
      <c r="C368" s="6"/>
      <c r="D368" s="12">
        <v>949.56</v>
      </c>
      <c r="E368" s="7"/>
      <c r="F368" s="11" t="s">
        <v>36</v>
      </c>
    </row>
    <row r="369" spans="1:6" x14ac:dyDescent="0.25">
      <c r="A369" s="11" t="s">
        <v>18</v>
      </c>
      <c r="B369" s="6"/>
      <c r="C369" s="6"/>
      <c r="D369" s="12">
        <v>21394.13</v>
      </c>
      <c r="E369" s="7"/>
      <c r="F369" s="11" t="s">
        <v>185</v>
      </c>
    </row>
    <row r="370" spans="1:6" x14ac:dyDescent="0.25">
      <c r="A370" s="11" t="s">
        <v>18</v>
      </c>
      <c r="B370" s="6"/>
      <c r="C370" s="6"/>
      <c r="D370" s="12">
        <v>101.31</v>
      </c>
      <c r="E370" s="7"/>
      <c r="F370" s="11" t="s">
        <v>186</v>
      </c>
    </row>
    <row r="371" spans="1:6" x14ac:dyDescent="0.25">
      <c r="A371" s="11" t="s">
        <v>18</v>
      </c>
      <c r="B371" s="6"/>
      <c r="C371" s="6"/>
      <c r="D371" s="12">
        <v>7175.3</v>
      </c>
      <c r="E371" s="7"/>
      <c r="F371" s="11" t="s">
        <v>187</v>
      </c>
    </row>
    <row r="372" spans="1:6" x14ac:dyDescent="0.25">
      <c r="A372" s="11" t="s">
        <v>18</v>
      </c>
      <c r="B372" s="6"/>
      <c r="C372" s="6"/>
      <c r="D372" s="12">
        <v>172.29</v>
      </c>
      <c r="E372" s="7"/>
      <c r="F372" s="11" t="s">
        <v>188</v>
      </c>
    </row>
    <row r="373" spans="1:6" x14ac:dyDescent="0.25">
      <c r="A373" s="11" t="s">
        <v>18</v>
      </c>
      <c r="B373" s="6"/>
      <c r="C373" s="6"/>
      <c r="D373" s="12">
        <v>97.64</v>
      </c>
      <c r="E373" s="7"/>
      <c r="F373" s="11" t="s">
        <v>168</v>
      </c>
    </row>
    <row r="374" spans="1:6" x14ac:dyDescent="0.25">
      <c r="A374" s="11" t="s">
        <v>18</v>
      </c>
      <c r="B374" s="6"/>
      <c r="C374" s="6"/>
      <c r="D374" s="12">
        <v>0.01</v>
      </c>
      <c r="E374" s="7"/>
      <c r="F374" s="11" t="s">
        <v>39</v>
      </c>
    </row>
    <row r="375" spans="1:6" x14ac:dyDescent="0.25">
      <c r="A375" s="11" t="s">
        <v>18</v>
      </c>
      <c r="B375" s="6"/>
      <c r="C375" s="6"/>
      <c r="D375" s="12">
        <v>464.3</v>
      </c>
      <c r="E375" s="7"/>
      <c r="F375" s="11" t="s">
        <v>189</v>
      </c>
    </row>
    <row r="376" spans="1:6" x14ac:dyDescent="0.25">
      <c r="A376" s="11" t="s">
        <v>18</v>
      </c>
      <c r="B376" s="6"/>
      <c r="C376" s="6"/>
      <c r="D376" s="12">
        <v>99.9</v>
      </c>
      <c r="E376" s="7"/>
      <c r="F376" s="11" t="s">
        <v>190</v>
      </c>
    </row>
    <row r="377" spans="1:6" x14ac:dyDescent="0.25">
      <c r="A377" s="11" t="s">
        <v>18</v>
      </c>
      <c r="B377" s="6"/>
      <c r="C377" s="6"/>
      <c r="D377" s="12">
        <v>365.9</v>
      </c>
      <c r="E377" s="7"/>
      <c r="F377" s="11" t="s">
        <v>191</v>
      </c>
    </row>
    <row r="378" spans="1:6" x14ac:dyDescent="0.25">
      <c r="A378" s="11" t="s">
        <v>18</v>
      </c>
      <c r="B378" s="6"/>
      <c r="C378" s="6"/>
      <c r="D378" s="12">
        <v>39.799999999999997</v>
      </c>
      <c r="E378" s="7"/>
      <c r="F378" s="11" t="s">
        <v>191</v>
      </c>
    </row>
    <row r="379" spans="1:6" x14ac:dyDescent="0.25">
      <c r="A379" s="11" t="s">
        <v>18</v>
      </c>
      <c r="B379" s="6"/>
      <c r="C379" s="6"/>
      <c r="D379" s="12">
        <v>29.9</v>
      </c>
      <c r="E379" s="7"/>
      <c r="F379" s="11" t="s">
        <v>190</v>
      </c>
    </row>
    <row r="380" spans="1:6" x14ac:dyDescent="0.25">
      <c r="A380" s="11" t="s">
        <v>18</v>
      </c>
      <c r="B380" s="6"/>
      <c r="C380" s="6"/>
      <c r="D380" s="12">
        <v>130</v>
      </c>
      <c r="E380" s="7"/>
      <c r="F380" s="11" t="s">
        <v>192</v>
      </c>
    </row>
    <row r="381" spans="1:6" x14ac:dyDescent="0.25">
      <c r="A381" s="11" t="s">
        <v>18</v>
      </c>
      <c r="B381" s="6"/>
      <c r="C381" s="6"/>
      <c r="D381" s="12">
        <v>350</v>
      </c>
      <c r="E381" s="7"/>
      <c r="F381" s="11" t="s">
        <v>192</v>
      </c>
    </row>
    <row r="382" spans="1:6" x14ac:dyDescent="0.25">
      <c r="A382" s="15" t="s">
        <v>19</v>
      </c>
      <c r="B382" s="16">
        <v>1025</v>
      </c>
      <c r="C382" s="16">
        <v>9</v>
      </c>
      <c r="D382" s="17">
        <v>-41.52</v>
      </c>
      <c r="E382" s="18"/>
      <c r="F382" s="15" t="s">
        <v>25</v>
      </c>
    </row>
    <row r="383" spans="1:6" x14ac:dyDescent="0.25">
      <c r="A383" s="15" t="s">
        <v>19</v>
      </c>
      <c r="B383" s="16"/>
      <c r="C383" s="16"/>
      <c r="D383" s="17">
        <v>-2158.38</v>
      </c>
      <c r="E383" s="18"/>
      <c r="F383" s="15" t="s">
        <v>59</v>
      </c>
    </row>
    <row r="384" spans="1:6" x14ac:dyDescent="0.25">
      <c r="A384" s="15" t="s">
        <v>19</v>
      </c>
      <c r="B384" s="16"/>
      <c r="C384" s="16"/>
      <c r="D384" s="17">
        <v>-1707.86</v>
      </c>
      <c r="E384" s="18"/>
      <c r="F384" s="15" t="s">
        <v>46</v>
      </c>
    </row>
    <row r="385" spans="1:6" x14ac:dyDescent="0.25">
      <c r="A385" s="15" t="s">
        <v>19</v>
      </c>
      <c r="B385" s="16">
        <v>1004</v>
      </c>
      <c r="C385" s="16">
        <v>9</v>
      </c>
      <c r="D385" s="17">
        <v>-544.62</v>
      </c>
      <c r="E385" s="18"/>
      <c r="F385" s="15" t="s">
        <v>26</v>
      </c>
    </row>
    <row r="386" spans="1:6" x14ac:dyDescent="0.25">
      <c r="A386" s="15" t="s">
        <v>19</v>
      </c>
      <c r="B386" s="16"/>
      <c r="C386" s="16"/>
      <c r="D386" s="17">
        <v>-2185.7399999999998</v>
      </c>
      <c r="E386" s="18"/>
      <c r="F386" s="15" t="s">
        <v>193</v>
      </c>
    </row>
    <row r="387" spans="1:6" x14ac:dyDescent="0.25">
      <c r="A387" s="15" t="s">
        <v>19</v>
      </c>
      <c r="B387" s="16"/>
      <c r="C387" s="16"/>
      <c r="D387" s="17">
        <v>-966.95</v>
      </c>
      <c r="E387" s="18"/>
      <c r="F387" s="15" t="s">
        <v>194</v>
      </c>
    </row>
    <row r="388" spans="1:6" x14ac:dyDescent="0.25">
      <c r="A388" s="15" t="s">
        <v>19</v>
      </c>
      <c r="B388" s="16">
        <v>1004</v>
      </c>
      <c r="C388" s="16">
        <v>9</v>
      </c>
      <c r="D388" s="17">
        <v>-556.59</v>
      </c>
      <c r="E388" s="18"/>
      <c r="F388" s="15" t="s">
        <v>26</v>
      </c>
    </row>
    <row r="389" spans="1:6" x14ac:dyDescent="0.25">
      <c r="A389" s="15" t="s">
        <v>19</v>
      </c>
      <c r="B389" s="16"/>
      <c r="C389" s="16"/>
      <c r="D389" s="17">
        <v>-2938.67</v>
      </c>
      <c r="E389" s="18"/>
      <c r="F389" s="15" t="s">
        <v>100</v>
      </c>
    </row>
    <row r="390" spans="1:6" x14ac:dyDescent="0.25">
      <c r="A390" s="15" t="s">
        <v>19</v>
      </c>
      <c r="B390" s="16">
        <v>1004</v>
      </c>
      <c r="C390" s="16">
        <v>9</v>
      </c>
      <c r="D390" s="17">
        <v>-590.34</v>
      </c>
      <c r="E390" s="18"/>
      <c r="F390" s="15" t="s">
        <v>62</v>
      </c>
    </row>
    <row r="391" spans="1:6" x14ac:dyDescent="0.25">
      <c r="A391" s="15" t="s">
        <v>19</v>
      </c>
      <c r="B391" s="16">
        <v>1004</v>
      </c>
      <c r="C391" s="16">
        <v>9</v>
      </c>
      <c r="D391" s="17">
        <v>-3890.85</v>
      </c>
      <c r="E391" s="18"/>
      <c r="F391" s="15" t="s">
        <v>26</v>
      </c>
    </row>
    <row r="392" spans="1:6" x14ac:dyDescent="0.25">
      <c r="A392" s="15" t="s">
        <v>19</v>
      </c>
      <c r="B392" s="16">
        <v>1004</v>
      </c>
      <c r="C392" s="16">
        <v>9</v>
      </c>
      <c r="D392" s="17">
        <v>-297.49</v>
      </c>
      <c r="E392" s="18"/>
      <c r="F392" s="15" t="s">
        <v>62</v>
      </c>
    </row>
    <row r="393" spans="1:6" x14ac:dyDescent="0.25">
      <c r="A393" s="15" t="s">
        <v>19</v>
      </c>
      <c r="B393" s="16">
        <v>1004</v>
      </c>
      <c r="C393" s="16">
        <v>9</v>
      </c>
      <c r="D393" s="17">
        <v>-477.44</v>
      </c>
      <c r="E393" s="18"/>
      <c r="F393" s="15" t="s">
        <v>45</v>
      </c>
    </row>
    <row r="394" spans="1:6" x14ac:dyDescent="0.25">
      <c r="A394" s="15" t="s">
        <v>19</v>
      </c>
      <c r="B394" s="16">
        <v>1004</v>
      </c>
      <c r="C394" s="16">
        <v>9</v>
      </c>
      <c r="D394" s="17">
        <v>-1831.42</v>
      </c>
      <c r="E394" s="18"/>
      <c r="F394" s="15" t="s">
        <v>31</v>
      </c>
    </row>
    <row r="395" spans="1:6" x14ac:dyDescent="0.25">
      <c r="A395" s="15" t="s">
        <v>19</v>
      </c>
      <c r="B395" s="16"/>
      <c r="C395" s="16"/>
      <c r="D395" s="17">
        <v>-1539.58</v>
      </c>
      <c r="E395" s="18"/>
      <c r="F395" s="15" t="s">
        <v>195</v>
      </c>
    </row>
    <row r="396" spans="1:6" x14ac:dyDescent="0.25">
      <c r="A396" s="15" t="s">
        <v>19</v>
      </c>
      <c r="B396" s="16"/>
      <c r="C396" s="16"/>
      <c r="D396" s="17">
        <v>-480</v>
      </c>
      <c r="E396" s="18"/>
      <c r="F396" s="15" t="s">
        <v>196</v>
      </c>
    </row>
    <row r="397" spans="1:6" x14ac:dyDescent="0.25">
      <c r="A397" s="15" t="s">
        <v>19</v>
      </c>
      <c r="B397" s="16"/>
      <c r="C397" s="16"/>
      <c r="D397" s="17">
        <v>-1223.92</v>
      </c>
      <c r="E397" s="18"/>
      <c r="F397" s="15" t="s">
        <v>93</v>
      </c>
    </row>
    <row r="398" spans="1:6" x14ac:dyDescent="0.25">
      <c r="A398" s="11" t="s">
        <v>19</v>
      </c>
      <c r="B398" s="6"/>
      <c r="C398" s="6"/>
      <c r="D398" s="12">
        <v>3295.6</v>
      </c>
      <c r="E398" s="7"/>
      <c r="F398" s="11" t="s">
        <v>197</v>
      </c>
    </row>
    <row r="399" spans="1:6" x14ac:dyDescent="0.25">
      <c r="A399" s="11" t="s">
        <v>19</v>
      </c>
      <c r="B399" s="6"/>
      <c r="C399" s="6"/>
      <c r="D399" s="12">
        <v>344.21</v>
      </c>
      <c r="E399" s="7"/>
      <c r="F399" s="11" t="s">
        <v>37</v>
      </c>
    </row>
    <row r="400" spans="1:6" x14ac:dyDescent="0.25">
      <c r="A400" s="11" t="s">
        <v>19</v>
      </c>
      <c r="B400" s="6"/>
      <c r="C400" s="6"/>
      <c r="D400" s="12">
        <v>504.48</v>
      </c>
      <c r="E400" s="7"/>
      <c r="F400" s="11" t="s">
        <v>168</v>
      </c>
    </row>
    <row r="401" spans="1:6" x14ac:dyDescent="0.25">
      <c r="A401" s="11" t="s">
        <v>19</v>
      </c>
      <c r="B401" s="6"/>
      <c r="C401" s="6"/>
      <c r="D401" s="12">
        <v>215.18</v>
      </c>
      <c r="E401" s="7"/>
      <c r="F401" s="11" t="s">
        <v>188</v>
      </c>
    </row>
    <row r="402" spans="1:6" x14ac:dyDescent="0.25">
      <c r="A402" s="11" t="s">
        <v>19</v>
      </c>
      <c r="B402" s="6"/>
      <c r="C402" s="6"/>
      <c r="D402" s="12">
        <v>241.9</v>
      </c>
      <c r="E402" s="7"/>
      <c r="F402" s="11" t="s">
        <v>198</v>
      </c>
    </row>
    <row r="403" spans="1:6" x14ac:dyDescent="0.25">
      <c r="A403" s="11" t="s">
        <v>19</v>
      </c>
      <c r="B403" s="6"/>
      <c r="C403" s="6"/>
      <c r="D403" s="12">
        <v>16100</v>
      </c>
      <c r="E403" s="7"/>
      <c r="F403" s="11" t="s">
        <v>199</v>
      </c>
    </row>
    <row r="404" spans="1:6" x14ac:dyDescent="0.25">
      <c r="A404" s="11" t="s">
        <v>19</v>
      </c>
      <c r="B404" s="6"/>
      <c r="C404" s="6"/>
      <c r="D404" s="12">
        <v>730</v>
      </c>
      <c r="E404" s="7"/>
      <c r="F404" s="11" t="s">
        <v>200</v>
      </c>
    </row>
    <row r="405" spans="1:6" x14ac:dyDescent="0.25">
      <c r="A405" s="15" t="s">
        <v>20</v>
      </c>
      <c r="B405" s="16"/>
      <c r="C405" s="16"/>
      <c r="D405" s="17">
        <v>-69.849999999999994</v>
      </c>
      <c r="E405" s="18"/>
      <c r="F405" s="15" t="s">
        <v>89</v>
      </c>
    </row>
    <row r="406" spans="1:6" x14ac:dyDescent="0.25">
      <c r="A406" s="15" t="s">
        <v>20</v>
      </c>
      <c r="B406" s="16">
        <v>1025</v>
      </c>
      <c r="C406" s="16">
        <v>9</v>
      </c>
      <c r="D406" s="17">
        <v>-5.67</v>
      </c>
      <c r="E406" s="18"/>
      <c r="F406" s="15" t="s">
        <v>25</v>
      </c>
    </row>
    <row r="407" spans="1:6" x14ac:dyDescent="0.25">
      <c r="A407" s="15" t="s">
        <v>20</v>
      </c>
      <c r="B407" s="16"/>
      <c r="C407" s="16"/>
      <c r="D407" s="17">
        <v>-2043.36</v>
      </c>
      <c r="E407" s="18"/>
      <c r="F407" s="15" t="s">
        <v>59</v>
      </c>
    </row>
    <row r="408" spans="1:6" x14ac:dyDescent="0.25">
      <c r="A408" s="15" t="s">
        <v>20</v>
      </c>
      <c r="B408" s="16"/>
      <c r="C408" s="16"/>
      <c r="D408" s="17">
        <v>-200</v>
      </c>
      <c r="E408" s="18"/>
      <c r="F408" s="15" t="s">
        <v>60</v>
      </c>
    </row>
    <row r="409" spans="1:6" x14ac:dyDescent="0.25">
      <c r="A409" s="15" t="s">
        <v>20</v>
      </c>
      <c r="B409" s="16">
        <v>1004</v>
      </c>
      <c r="C409" s="16">
        <v>9</v>
      </c>
      <c r="D409" s="17">
        <v>-1229.24</v>
      </c>
      <c r="E409" s="18"/>
      <c r="F409" s="15" t="s">
        <v>33</v>
      </c>
    </row>
    <row r="410" spans="1:6" x14ac:dyDescent="0.25">
      <c r="A410" s="15" t="s">
        <v>20</v>
      </c>
      <c r="B410" s="16">
        <v>1004</v>
      </c>
      <c r="C410" s="16">
        <v>9</v>
      </c>
      <c r="D410" s="17">
        <v>-2344.2800000000002</v>
      </c>
      <c r="E410" s="18"/>
      <c r="F410" s="15" t="s">
        <v>116</v>
      </c>
    </row>
    <row r="411" spans="1:6" x14ac:dyDescent="0.25">
      <c r="A411" s="15" t="s">
        <v>20</v>
      </c>
      <c r="B411" s="16">
        <v>1004</v>
      </c>
      <c r="C411" s="16">
        <v>9</v>
      </c>
      <c r="D411" s="17">
        <v>-785.26</v>
      </c>
      <c r="E411" s="18"/>
      <c r="F411" s="15" t="s">
        <v>28</v>
      </c>
    </row>
    <row r="412" spans="1:6" x14ac:dyDescent="0.25">
      <c r="A412" s="15" t="s">
        <v>20</v>
      </c>
      <c r="B412" s="16">
        <v>1004</v>
      </c>
      <c r="C412" s="16">
        <v>9</v>
      </c>
      <c r="D412" s="17">
        <v>-882.44</v>
      </c>
      <c r="E412" s="18"/>
      <c r="F412" s="15" t="s">
        <v>116</v>
      </c>
    </row>
    <row r="413" spans="1:6" x14ac:dyDescent="0.25">
      <c r="A413" s="15" t="s">
        <v>20</v>
      </c>
      <c r="B413" s="16">
        <v>1004</v>
      </c>
      <c r="C413" s="16">
        <v>9</v>
      </c>
      <c r="D413" s="17">
        <v>-1416.73</v>
      </c>
      <c r="E413" s="18"/>
      <c r="F413" s="15" t="s">
        <v>33</v>
      </c>
    </row>
    <row r="414" spans="1:6" x14ac:dyDescent="0.25">
      <c r="A414" s="15" t="s">
        <v>20</v>
      </c>
      <c r="B414" s="16">
        <v>1004</v>
      </c>
      <c r="C414" s="16">
        <v>9</v>
      </c>
      <c r="D414" s="17">
        <v>-650.29999999999995</v>
      </c>
      <c r="E414" s="18"/>
      <c r="F414" s="15" t="s">
        <v>62</v>
      </c>
    </row>
    <row r="415" spans="1:6" x14ac:dyDescent="0.25">
      <c r="A415" s="15" t="s">
        <v>20</v>
      </c>
      <c r="B415" s="16">
        <v>1004</v>
      </c>
      <c r="C415" s="16">
        <v>9</v>
      </c>
      <c r="D415" s="17">
        <v>-1378.73</v>
      </c>
      <c r="E415" s="18"/>
      <c r="F415" s="15" t="s">
        <v>33</v>
      </c>
    </row>
    <row r="416" spans="1:6" x14ac:dyDescent="0.25">
      <c r="A416" s="15" t="s">
        <v>20</v>
      </c>
      <c r="B416" s="16"/>
      <c r="C416" s="16"/>
      <c r="D416" s="17">
        <v>-300</v>
      </c>
      <c r="E416" s="18"/>
      <c r="F416" s="15" t="s">
        <v>201</v>
      </c>
    </row>
    <row r="417" spans="1:6" x14ac:dyDescent="0.25">
      <c r="A417" s="15" t="s">
        <v>20</v>
      </c>
      <c r="B417" s="16">
        <v>1004</v>
      </c>
      <c r="C417" s="16">
        <v>9</v>
      </c>
      <c r="D417" s="17">
        <v>-1008.93</v>
      </c>
      <c r="E417" s="18"/>
      <c r="F417" s="15" t="s">
        <v>33</v>
      </c>
    </row>
    <row r="418" spans="1:6" x14ac:dyDescent="0.25">
      <c r="A418" s="15" t="s">
        <v>20</v>
      </c>
      <c r="B418" s="16"/>
      <c r="C418" s="16"/>
      <c r="D418" s="17">
        <v>-1062.5899999999999</v>
      </c>
      <c r="E418" s="18"/>
      <c r="F418" s="15" t="s">
        <v>64</v>
      </c>
    </row>
    <row r="419" spans="1:6" x14ac:dyDescent="0.25">
      <c r="A419" s="15" t="s">
        <v>20</v>
      </c>
      <c r="B419" s="16"/>
      <c r="C419" s="16"/>
      <c r="D419" s="17">
        <v>-312.32</v>
      </c>
      <c r="E419" s="18"/>
      <c r="F419" s="15" t="s">
        <v>71</v>
      </c>
    </row>
    <row r="420" spans="1:6" x14ac:dyDescent="0.25">
      <c r="A420" s="11" t="s">
        <v>20</v>
      </c>
      <c r="B420" s="6"/>
      <c r="C420" s="6"/>
      <c r="D420" s="12">
        <v>5306.91</v>
      </c>
      <c r="E420" s="7"/>
      <c r="F420" s="11" t="s">
        <v>202</v>
      </c>
    </row>
    <row r="421" spans="1:6" x14ac:dyDescent="0.25">
      <c r="A421" s="11" t="s">
        <v>20</v>
      </c>
      <c r="B421" s="6"/>
      <c r="C421" s="6"/>
      <c r="D421" s="12">
        <v>107.9</v>
      </c>
      <c r="E421" s="7"/>
      <c r="F421" s="11" t="s">
        <v>203</v>
      </c>
    </row>
    <row r="422" spans="1:6" x14ac:dyDescent="0.25">
      <c r="A422" s="11" t="s">
        <v>20</v>
      </c>
      <c r="B422" s="6"/>
      <c r="C422" s="6"/>
      <c r="D422" s="12">
        <v>274.89</v>
      </c>
      <c r="E422" s="7"/>
      <c r="F422" s="11" t="s">
        <v>204</v>
      </c>
    </row>
    <row r="423" spans="1:6" x14ac:dyDescent="0.25">
      <c r="A423" s="11" t="s">
        <v>20</v>
      </c>
      <c r="B423" s="6"/>
      <c r="C423" s="6"/>
      <c r="D423" s="12">
        <v>8000</v>
      </c>
      <c r="E423" s="7"/>
      <c r="F423" s="11" t="s">
        <v>205</v>
      </c>
    </row>
    <row r="424" spans="1:6" x14ac:dyDescent="0.25">
      <c r="A424" s="15" t="s">
        <v>21</v>
      </c>
      <c r="B424" s="16">
        <v>1025</v>
      </c>
      <c r="C424" s="16">
        <v>9</v>
      </c>
      <c r="D424" s="17">
        <v>-13.23</v>
      </c>
      <c r="E424" s="18"/>
      <c r="F424" s="15" t="s">
        <v>25</v>
      </c>
    </row>
    <row r="425" spans="1:6" x14ac:dyDescent="0.25">
      <c r="A425" s="15" t="s">
        <v>21</v>
      </c>
      <c r="B425" s="16"/>
      <c r="C425" s="16"/>
      <c r="D425" s="17">
        <v>-6544.51</v>
      </c>
      <c r="E425" s="18"/>
      <c r="F425" s="15" t="s">
        <v>59</v>
      </c>
    </row>
    <row r="426" spans="1:6" x14ac:dyDescent="0.25">
      <c r="A426" s="15" t="s">
        <v>21</v>
      </c>
      <c r="B426" s="16">
        <v>1004</v>
      </c>
      <c r="C426" s="16">
        <v>9</v>
      </c>
      <c r="D426" s="17">
        <v>-228.38</v>
      </c>
      <c r="E426" s="18"/>
      <c r="F426" s="15" t="s">
        <v>31</v>
      </c>
    </row>
    <row r="427" spans="1:6" x14ac:dyDescent="0.25">
      <c r="A427" s="15" t="s">
        <v>21</v>
      </c>
      <c r="B427" s="16"/>
      <c r="C427" s="16"/>
      <c r="D427" s="17">
        <v>-4184.96</v>
      </c>
      <c r="E427" s="18"/>
      <c r="F427" s="15" t="s">
        <v>206</v>
      </c>
    </row>
    <row r="428" spans="1:6" x14ac:dyDescent="0.25">
      <c r="A428" s="15" t="s">
        <v>21</v>
      </c>
      <c r="B428" s="16"/>
      <c r="C428" s="16"/>
      <c r="D428" s="17">
        <v>-2327.7199999999998</v>
      </c>
      <c r="E428" s="18"/>
      <c r="F428" s="15" t="s">
        <v>118</v>
      </c>
    </row>
    <row r="429" spans="1:6" x14ac:dyDescent="0.25">
      <c r="A429" s="15" t="s">
        <v>21</v>
      </c>
      <c r="B429" s="16"/>
      <c r="C429" s="16"/>
      <c r="D429" s="17">
        <v>-1204.95</v>
      </c>
      <c r="E429" s="18"/>
      <c r="F429" s="15" t="s">
        <v>207</v>
      </c>
    </row>
    <row r="430" spans="1:6" x14ac:dyDescent="0.25">
      <c r="A430" s="15" t="s">
        <v>21</v>
      </c>
      <c r="B430" s="16">
        <v>1004</v>
      </c>
      <c r="C430" s="16">
        <v>9</v>
      </c>
      <c r="D430" s="17">
        <v>-1011.86</v>
      </c>
      <c r="E430" s="18"/>
      <c r="F430" s="15" t="s">
        <v>33</v>
      </c>
    </row>
    <row r="431" spans="1:6" x14ac:dyDescent="0.25">
      <c r="A431" s="15" t="s">
        <v>21</v>
      </c>
      <c r="B431" s="16">
        <v>1004</v>
      </c>
      <c r="C431" s="16">
        <v>9</v>
      </c>
      <c r="D431" s="17">
        <v>-1040.9100000000001</v>
      </c>
      <c r="E431" s="18"/>
      <c r="F431" s="15" t="s">
        <v>33</v>
      </c>
    </row>
    <row r="432" spans="1:6" x14ac:dyDescent="0.25">
      <c r="A432" s="15" t="s">
        <v>21</v>
      </c>
      <c r="B432" s="16">
        <v>1004</v>
      </c>
      <c r="C432" s="16">
        <v>9</v>
      </c>
      <c r="D432" s="17">
        <v>-1173.77</v>
      </c>
      <c r="E432" s="18"/>
      <c r="F432" s="15" t="s">
        <v>45</v>
      </c>
    </row>
    <row r="433" spans="1:6" x14ac:dyDescent="0.25">
      <c r="A433" s="15" t="s">
        <v>21</v>
      </c>
      <c r="B433" s="16"/>
      <c r="C433" s="16"/>
      <c r="D433" s="17">
        <v>-695.75</v>
      </c>
      <c r="E433" s="18"/>
      <c r="F433" s="15" t="s">
        <v>83</v>
      </c>
    </row>
    <row r="434" spans="1:6" x14ac:dyDescent="0.25">
      <c r="A434" s="15" t="s">
        <v>21</v>
      </c>
      <c r="B434" s="16">
        <v>1004</v>
      </c>
      <c r="C434" s="16">
        <v>9</v>
      </c>
      <c r="D434" s="17">
        <v>-1232.8699999999999</v>
      </c>
      <c r="E434" s="18"/>
      <c r="F434" s="15" t="s">
        <v>33</v>
      </c>
    </row>
    <row r="435" spans="1:6" x14ac:dyDescent="0.25">
      <c r="A435" s="15" t="s">
        <v>21</v>
      </c>
      <c r="B435" s="16">
        <v>1004</v>
      </c>
      <c r="C435" s="16">
        <v>9</v>
      </c>
      <c r="D435" s="17">
        <v>-645.91999999999996</v>
      </c>
      <c r="E435" s="18"/>
      <c r="F435" s="15" t="s">
        <v>31</v>
      </c>
    </row>
    <row r="436" spans="1:6" x14ac:dyDescent="0.25">
      <c r="A436" s="15" t="s">
        <v>21</v>
      </c>
      <c r="B436" s="16">
        <v>1004</v>
      </c>
      <c r="C436" s="16">
        <v>9</v>
      </c>
      <c r="D436" s="17">
        <v>-403.97</v>
      </c>
      <c r="E436" s="18"/>
      <c r="F436" s="15" t="s">
        <v>28</v>
      </c>
    </row>
    <row r="437" spans="1:6" x14ac:dyDescent="0.25">
      <c r="A437" s="15" t="s">
        <v>21</v>
      </c>
      <c r="B437" s="16"/>
      <c r="C437" s="16"/>
      <c r="D437" s="17">
        <v>-475.22</v>
      </c>
      <c r="E437" s="18"/>
      <c r="F437" s="15" t="s">
        <v>101</v>
      </c>
    </row>
    <row r="438" spans="1:6" x14ac:dyDescent="0.25">
      <c r="A438" s="15" t="s">
        <v>21</v>
      </c>
      <c r="B438" s="16"/>
      <c r="C438" s="16"/>
      <c r="D438" s="17">
        <v>-133.75</v>
      </c>
      <c r="E438" s="18"/>
      <c r="F438" s="15" t="s">
        <v>71</v>
      </c>
    </row>
    <row r="439" spans="1:6" x14ac:dyDescent="0.25">
      <c r="A439" s="15" t="s">
        <v>21</v>
      </c>
      <c r="B439" s="16"/>
      <c r="C439" s="16"/>
      <c r="D439" s="17">
        <v>-4618.8999999999996</v>
      </c>
      <c r="E439" s="18"/>
      <c r="F439" s="15" t="s">
        <v>49</v>
      </c>
    </row>
    <row r="440" spans="1:6" x14ac:dyDescent="0.25">
      <c r="A440" s="15" t="s">
        <v>21</v>
      </c>
      <c r="B440" s="16">
        <v>1004</v>
      </c>
      <c r="C440" s="16">
        <v>9</v>
      </c>
      <c r="D440" s="17">
        <v>-74.819999999999993</v>
      </c>
      <c r="E440" s="18"/>
      <c r="F440" s="15" t="s">
        <v>45</v>
      </c>
    </row>
    <row r="441" spans="1:6" x14ac:dyDescent="0.25">
      <c r="A441" s="15" t="s">
        <v>21</v>
      </c>
      <c r="B441" s="16"/>
      <c r="C441" s="16"/>
      <c r="D441" s="17">
        <v>-670.52</v>
      </c>
      <c r="E441" s="18"/>
      <c r="F441" s="15" t="s">
        <v>74</v>
      </c>
    </row>
    <row r="442" spans="1:6" x14ac:dyDescent="0.25">
      <c r="A442" s="11" t="s">
        <v>21</v>
      </c>
      <c r="B442" s="6"/>
      <c r="C442" s="6"/>
      <c r="D442" s="12">
        <v>11124.15</v>
      </c>
      <c r="E442" s="7"/>
      <c r="F442" s="11" t="s">
        <v>208</v>
      </c>
    </row>
    <row r="443" spans="1:6" x14ac:dyDescent="0.25">
      <c r="A443" s="11" t="s">
        <v>21</v>
      </c>
      <c r="B443" s="6"/>
      <c r="C443" s="6"/>
      <c r="D443" s="12">
        <v>733.42</v>
      </c>
      <c r="E443" s="7"/>
      <c r="F443" s="11" t="s">
        <v>38</v>
      </c>
    </row>
    <row r="444" spans="1:6" x14ac:dyDescent="0.25">
      <c r="A444" s="11" t="s">
        <v>21</v>
      </c>
      <c r="B444" s="6"/>
      <c r="C444" s="6"/>
      <c r="D444" s="12">
        <v>638.05999999999995</v>
      </c>
      <c r="E444" s="7"/>
      <c r="F444" s="11" t="s">
        <v>37</v>
      </c>
    </row>
    <row r="445" spans="1:6" x14ac:dyDescent="0.25">
      <c r="A445" s="11" t="s">
        <v>21</v>
      </c>
      <c r="B445" s="6"/>
      <c r="C445" s="6"/>
      <c r="D445" s="12">
        <v>175.48</v>
      </c>
      <c r="E445" s="7"/>
      <c r="F445" s="11" t="s">
        <v>209</v>
      </c>
    </row>
    <row r="446" spans="1:6" x14ac:dyDescent="0.25">
      <c r="A446" s="11" t="s">
        <v>21</v>
      </c>
      <c r="B446" s="6"/>
      <c r="C446" s="6"/>
      <c r="D446" s="12">
        <v>880</v>
      </c>
      <c r="E446" s="7"/>
      <c r="F446" s="11" t="s">
        <v>210</v>
      </c>
    </row>
    <row r="447" spans="1:6" x14ac:dyDescent="0.25">
      <c r="A447" s="11" t="s">
        <v>21</v>
      </c>
      <c r="B447" s="6"/>
      <c r="C447" s="6"/>
      <c r="D447" s="12">
        <v>430.9</v>
      </c>
      <c r="E447" s="7"/>
      <c r="F447" s="11" t="s">
        <v>211</v>
      </c>
    </row>
    <row r="448" spans="1:6" x14ac:dyDescent="0.25">
      <c r="A448" s="11" t="s">
        <v>21</v>
      </c>
      <c r="B448" s="6"/>
      <c r="C448" s="6"/>
      <c r="D448" s="12">
        <v>5000</v>
      </c>
      <c r="E448" s="7"/>
      <c r="F448" s="11" t="s">
        <v>212</v>
      </c>
    </row>
    <row r="449" spans="1:6" x14ac:dyDescent="0.25">
      <c r="A449" s="11" t="s">
        <v>21</v>
      </c>
      <c r="B449" s="6"/>
      <c r="C449" s="6"/>
      <c r="D449" s="12">
        <v>7700</v>
      </c>
      <c r="E449" s="7"/>
      <c r="F449" s="11" t="s">
        <v>212</v>
      </c>
    </row>
    <row r="450" spans="1:6" x14ac:dyDescent="0.25">
      <c r="A450" s="15" t="s">
        <v>22</v>
      </c>
      <c r="B450" s="16">
        <v>1025</v>
      </c>
      <c r="C450" s="16">
        <v>9</v>
      </c>
      <c r="D450" s="17">
        <v>-5.67</v>
      </c>
      <c r="E450" s="18"/>
      <c r="F450" s="15" t="s">
        <v>25</v>
      </c>
    </row>
    <row r="451" spans="1:6" x14ac:dyDescent="0.25">
      <c r="A451" s="15" t="s">
        <v>22</v>
      </c>
      <c r="B451" s="16"/>
      <c r="C451" s="16"/>
      <c r="D451" s="17">
        <v>-477.16</v>
      </c>
      <c r="E451" s="18"/>
      <c r="F451" s="15" t="s">
        <v>60</v>
      </c>
    </row>
    <row r="452" spans="1:6" x14ac:dyDescent="0.25">
      <c r="A452" s="15" t="s">
        <v>22</v>
      </c>
      <c r="B452" s="16"/>
      <c r="C452" s="16"/>
      <c r="D452" s="17">
        <v>-398.17</v>
      </c>
      <c r="E452" s="18"/>
      <c r="F452" s="15" t="s">
        <v>60</v>
      </c>
    </row>
    <row r="453" spans="1:6" x14ac:dyDescent="0.25">
      <c r="A453" s="15" t="s">
        <v>22</v>
      </c>
      <c r="B453" s="16">
        <v>1004</v>
      </c>
      <c r="C453" s="16">
        <v>9</v>
      </c>
      <c r="D453" s="17">
        <v>-1321.18</v>
      </c>
      <c r="E453" s="18"/>
      <c r="F453" s="15" t="s">
        <v>26</v>
      </c>
    </row>
    <row r="454" spans="1:6" x14ac:dyDescent="0.25">
      <c r="A454" s="15" t="s">
        <v>22</v>
      </c>
      <c r="B454" s="16">
        <v>1004</v>
      </c>
      <c r="C454" s="16">
        <v>9</v>
      </c>
      <c r="D454" s="17">
        <v>-1560.34</v>
      </c>
      <c r="E454" s="18"/>
      <c r="F454" s="15" t="s">
        <v>31</v>
      </c>
    </row>
    <row r="455" spans="1:6" x14ac:dyDescent="0.25">
      <c r="A455" s="15" t="s">
        <v>22</v>
      </c>
      <c r="B455" s="16"/>
      <c r="C455" s="16"/>
      <c r="D455" s="17">
        <v>-3264.66</v>
      </c>
      <c r="E455" s="18"/>
      <c r="F455" s="15" t="s">
        <v>183</v>
      </c>
    </row>
    <row r="456" spans="1:6" x14ac:dyDescent="0.25">
      <c r="A456" s="15" t="s">
        <v>22</v>
      </c>
      <c r="B456" s="16">
        <v>1004</v>
      </c>
      <c r="C456" s="16">
        <v>9</v>
      </c>
      <c r="D456" s="17">
        <v>-901.43</v>
      </c>
      <c r="E456" s="18"/>
      <c r="F456" s="15" t="s">
        <v>26</v>
      </c>
    </row>
    <row r="457" spans="1:6" x14ac:dyDescent="0.25">
      <c r="A457" s="15" t="s">
        <v>22</v>
      </c>
      <c r="B457" s="16">
        <v>1004</v>
      </c>
      <c r="C457" s="16">
        <v>9</v>
      </c>
      <c r="D457" s="17">
        <v>-20.5</v>
      </c>
      <c r="E457" s="18"/>
      <c r="F457" s="15" t="s">
        <v>45</v>
      </c>
    </row>
    <row r="458" spans="1:6" x14ac:dyDescent="0.25">
      <c r="A458" s="15" t="s">
        <v>22</v>
      </c>
      <c r="B458" s="16">
        <v>1004</v>
      </c>
      <c r="C458" s="16">
        <v>9</v>
      </c>
      <c r="D458" s="17">
        <v>-820.94</v>
      </c>
      <c r="E458" s="18"/>
      <c r="F458" s="15" t="s">
        <v>32</v>
      </c>
    </row>
    <row r="459" spans="1:6" x14ac:dyDescent="0.25">
      <c r="A459" s="15" t="s">
        <v>22</v>
      </c>
      <c r="B459" s="16"/>
      <c r="C459" s="16"/>
      <c r="D459" s="17">
        <v>-920.34</v>
      </c>
      <c r="E459" s="18"/>
      <c r="F459" s="15" t="s">
        <v>213</v>
      </c>
    </row>
    <row r="460" spans="1:6" x14ac:dyDescent="0.25">
      <c r="A460" s="15" t="s">
        <v>22</v>
      </c>
      <c r="B460" s="16">
        <v>1004</v>
      </c>
      <c r="C460" s="16">
        <v>9</v>
      </c>
      <c r="D460" s="17">
        <v>-1002.8</v>
      </c>
      <c r="E460" s="18"/>
      <c r="F460" s="15" t="s">
        <v>33</v>
      </c>
    </row>
    <row r="461" spans="1:6" x14ac:dyDescent="0.25">
      <c r="A461" s="15" t="s">
        <v>22</v>
      </c>
      <c r="B461" s="16">
        <v>1004</v>
      </c>
      <c r="C461" s="16">
        <v>9</v>
      </c>
      <c r="D461" s="17">
        <v>-479.84</v>
      </c>
      <c r="E461" s="18"/>
      <c r="F461" s="15" t="s">
        <v>62</v>
      </c>
    </row>
    <row r="462" spans="1:6" x14ac:dyDescent="0.25">
      <c r="A462" s="15" t="s">
        <v>22</v>
      </c>
      <c r="B462" s="16">
        <v>1004</v>
      </c>
      <c r="C462" s="16">
        <v>9</v>
      </c>
      <c r="D462" s="17">
        <v>-1207.25</v>
      </c>
      <c r="E462" s="18"/>
      <c r="F462" s="15" t="s">
        <v>33</v>
      </c>
    </row>
    <row r="463" spans="1:6" x14ac:dyDescent="0.25">
      <c r="A463" s="15" t="s">
        <v>22</v>
      </c>
      <c r="B463" s="16">
        <v>1004</v>
      </c>
      <c r="C463" s="16">
        <v>9</v>
      </c>
      <c r="D463" s="17">
        <v>-405.87</v>
      </c>
      <c r="E463" s="18"/>
      <c r="F463" s="15" t="s">
        <v>28</v>
      </c>
    </row>
    <row r="464" spans="1:6" x14ac:dyDescent="0.25">
      <c r="A464" s="11" t="s">
        <v>22</v>
      </c>
      <c r="B464" s="6"/>
      <c r="C464" s="6"/>
      <c r="D464" s="12">
        <v>3850.3</v>
      </c>
      <c r="E464" s="7"/>
      <c r="F464" s="11" t="s">
        <v>214</v>
      </c>
    </row>
    <row r="465" spans="1:6" x14ac:dyDescent="0.25">
      <c r="A465" s="11" t="s">
        <v>22</v>
      </c>
      <c r="B465" s="6"/>
      <c r="C465" s="6"/>
      <c r="D465" s="12">
        <v>7660.27</v>
      </c>
      <c r="E465" s="7"/>
      <c r="F465" s="11" t="s">
        <v>36</v>
      </c>
    </row>
    <row r="466" spans="1:6" x14ac:dyDescent="0.25">
      <c r="A466" s="11" t="s">
        <v>22</v>
      </c>
      <c r="B466" s="6"/>
      <c r="C466" s="6"/>
      <c r="D466" s="12">
        <v>1148.29</v>
      </c>
      <c r="E466" s="7"/>
      <c r="F466" s="11" t="s">
        <v>37</v>
      </c>
    </row>
    <row r="467" spans="1:6" x14ac:dyDescent="0.25">
      <c r="A467" s="11" t="s">
        <v>22</v>
      </c>
      <c r="B467" s="6"/>
      <c r="C467" s="6"/>
      <c r="D467" s="12">
        <v>100.52</v>
      </c>
      <c r="E467" s="7"/>
      <c r="F467" s="11" t="s">
        <v>38</v>
      </c>
    </row>
    <row r="468" spans="1:6" x14ac:dyDescent="0.25">
      <c r="A468" s="11" t="s">
        <v>22</v>
      </c>
      <c r="B468" s="6"/>
      <c r="C468" s="6"/>
      <c r="D468" s="12">
        <v>7.0000000000000007E-2</v>
      </c>
      <c r="E468" s="7"/>
      <c r="F468" s="11" t="s">
        <v>39</v>
      </c>
    </row>
    <row r="469" spans="1:6" x14ac:dyDescent="0.25">
      <c r="A469" s="11" t="s">
        <v>22</v>
      </c>
      <c r="B469" s="6"/>
      <c r="C469" s="6"/>
      <c r="D469" s="12">
        <v>26.7</v>
      </c>
      <c r="E469" s="7"/>
      <c r="F469" s="11" t="s">
        <v>215</v>
      </c>
    </row>
    <row r="470" spans="1:6" x14ac:dyDescent="0.25">
      <c r="A470" s="15" t="s">
        <v>23</v>
      </c>
      <c r="B470" s="16">
        <v>1025</v>
      </c>
      <c r="C470" s="16">
        <v>9</v>
      </c>
      <c r="D470" s="17">
        <v>-1.89</v>
      </c>
      <c r="E470" s="18"/>
      <c r="F470" s="15" t="s">
        <v>25</v>
      </c>
    </row>
    <row r="471" spans="1:6" x14ac:dyDescent="0.25">
      <c r="A471" s="15" t="s">
        <v>23</v>
      </c>
      <c r="B471" s="16">
        <v>1004</v>
      </c>
      <c r="C471" s="16">
        <v>9</v>
      </c>
      <c r="D471" s="17">
        <v>-837.28</v>
      </c>
      <c r="E471" s="18"/>
      <c r="F471" s="15" t="s">
        <v>28</v>
      </c>
    </row>
    <row r="472" spans="1:6" x14ac:dyDescent="0.25">
      <c r="A472" s="15" t="s">
        <v>23</v>
      </c>
      <c r="B472" s="16">
        <v>1004</v>
      </c>
      <c r="C472" s="16">
        <v>9</v>
      </c>
      <c r="D472" s="17">
        <v>-395.27</v>
      </c>
      <c r="E472" s="18"/>
      <c r="F472" s="15" t="s">
        <v>26</v>
      </c>
    </row>
    <row r="473" spans="1:6" x14ac:dyDescent="0.25">
      <c r="A473" s="15" t="s">
        <v>23</v>
      </c>
      <c r="B473" s="16">
        <v>1004</v>
      </c>
      <c r="C473" s="16">
        <v>9</v>
      </c>
      <c r="D473" s="17">
        <v>-1485.28</v>
      </c>
      <c r="E473" s="18"/>
      <c r="F473" s="15" t="s">
        <v>216</v>
      </c>
    </row>
    <row r="474" spans="1:6" x14ac:dyDescent="0.25">
      <c r="A474" s="15" t="s">
        <v>23</v>
      </c>
      <c r="B474" s="16">
        <v>1004</v>
      </c>
      <c r="C474" s="16">
        <v>9</v>
      </c>
      <c r="D474" s="17">
        <v>-1452.5</v>
      </c>
      <c r="E474" s="18"/>
      <c r="F474" s="15" t="s">
        <v>50</v>
      </c>
    </row>
    <row r="475" spans="1:6" x14ac:dyDescent="0.25">
      <c r="A475" s="15" t="s">
        <v>23</v>
      </c>
      <c r="B475" s="16">
        <v>1004</v>
      </c>
      <c r="C475" s="16">
        <v>9</v>
      </c>
      <c r="D475" s="17">
        <v>-17.649999999999999</v>
      </c>
      <c r="E475" s="18"/>
      <c r="F475" s="15" t="s">
        <v>45</v>
      </c>
    </row>
    <row r="476" spans="1:6" x14ac:dyDescent="0.25">
      <c r="A476" s="15" t="s">
        <v>23</v>
      </c>
      <c r="B476" s="16">
        <v>1004</v>
      </c>
      <c r="C476" s="16">
        <v>9</v>
      </c>
      <c r="D476" s="17">
        <v>-1720.6</v>
      </c>
      <c r="E476" s="18"/>
      <c r="F476" s="15" t="s">
        <v>45</v>
      </c>
    </row>
    <row r="477" spans="1:6" x14ac:dyDescent="0.25">
      <c r="A477" s="15" t="s">
        <v>23</v>
      </c>
      <c r="B477" s="16">
        <v>1004</v>
      </c>
      <c r="C477" s="16">
        <v>9</v>
      </c>
      <c r="D477" s="17">
        <v>-464.78</v>
      </c>
      <c r="E477" s="18"/>
      <c r="F477" s="15" t="s">
        <v>28</v>
      </c>
    </row>
    <row r="478" spans="1:6" x14ac:dyDescent="0.25">
      <c r="A478" s="15" t="s">
        <v>23</v>
      </c>
      <c r="B478" s="16">
        <v>1004</v>
      </c>
      <c r="C478" s="16">
        <v>9</v>
      </c>
      <c r="D478" s="17">
        <v>-558</v>
      </c>
      <c r="E478" s="18"/>
      <c r="F478" s="15" t="s">
        <v>62</v>
      </c>
    </row>
    <row r="479" spans="1:6" x14ac:dyDescent="0.25">
      <c r="A479" s="15" t="s">
        <v>23</v>
      </c>
      <c r="B479" s="16">
        <v>1004</v>
      </c>
      <c r="C479" s="16">
        <v>9</v>
      </c>
      <c r="D479" s="17">
        <v>-279.60000000000002</v>
      </c>
      <c r="E479" s="18"/>
      <c r="F479" s="15" t="s">
        <v>62</v>
      </c>
    </row>
    <row r="480" spans="1:6" x14ac:dyDescent="0.25">
      <c r="A480" s="15" t="s">
        <v>23</v>
      </c>
      <c r="B480" s="16"/>
      <c r="C480" s="16"/>
      <c r="D480" s="17">
        <v>-2853.76</v>
      </c>
      <c r="E480" s="18"/>
      <c r="F480" s="15" t="s">
        <v>100</v>
      </c>
    </row>
    <row r="481" spans="1:6" x14ac:dyDescent="0.25">
      <c r="A481" s="15" t="s">
        <v>23</v>
      </c>
      <c r="B481" s="16"/>
      <c r="C481" s="16"/>
      <c r="D481" s="17">
        <v>-1226.67</v>
      </c>
      <c r="E481" s="18"/>
      <c r="F481" s="15" t="s">
        <v>217</v>
      </c>
    </row>
    <row r="482" spans="1:6" x14ac:dyDescent="0.25">
      <c r="A482" s="15" t="s">
        <v>23</v>
      </c>
      <c r="B482" s="16">
        <v>1004</v>
      </c>
      <c r="C482" s="16">
        <v>9</v>
      </c>
      <c r="D482" s="17">
        <v>-1292.1199999999999</v>
      </c>
      <c r="E482" s="18"/>
      <c r="F482" s="15" t="s">
        <v>33</v>
      </c>
    </row>
    <row r="483" spans="1:6" x14ac:dyDescent="0.25">
      <c r="A483" s="11" t="s">
        <v>23</v>
      </c>
      <c r="B483" s="6"/>
      <c r="C483" s="6"/>
      <c r="D483" s="12">
        <v>138.34</v>
      </c>
      <c r="E483" s="7"/>
      <c r="F483" s="11" t="s">
        <v>218</v>
      </c>
    </row>
    <row r="484" spans="1:6" x14ac:dyDescent="0.25">
      <c r="A484" s="11" t="s">
        <v>23</v>
      </c>
      <c r="B484" s="6"/>
      <c r="C484" s="6"/>
      <c r="D484" s="12">
        <v>3159.95</v>
      </c>
      <c r="E484" s="7"/>
      <c r="F484" s="11" t="s">
        <v>36</v>
      </c>
    </row>
    <row r="485" spans="1:6" x14ac:dyDescent="0.25">
      <c r="A485" s="11" t="s">
        <v>23</v>
      </c>
      <c r="B485" s="6"/>
      <c r="C485" s="6"/>
      <c r="D485" s="12">
        <v>89.2</v>
      </c>
      <c r="E485" s="7"/>
      <c r="F485" s="11" t="s">
        <v>37</v>
      </c>
    </row>
    <row r="486" spans="1:6" x14ac:dyDescent="0.25">
      <c r="A486" s="11" t="s">
        <v>23</v>
      </c>
      <c r="B486" s="6"/>
      <c r="C486" s="6"/>
      <c r="D486" s="12">
        <v>0.01</v>
      </c>
      <c r="E486" s="7"/>
      <c r="F486" s="11" t="s">
        <v>39</v>
      </c>
    </row>
    <row r="487" spans="1:6" x14ac:dyDescent="0.25">
      <c r="A487" s="11" t="s">
        <v>23</v>
      </c>
      <c r="B487" s="6"/>
      <c r="C487" s="6"/>
      <c r="D487" s="12">
        <v>89.9</v>
      </c>
      <c r="E487" s="7"/>
      <c r="F487" s="11" t="s">
        <v>219</v>
      </c>
    </row>
    <row r="488" spans="1:6" x14ac:dyDescent="0.25">
      <c r="A488" s="11" t="s">
        <v>23</v>
      </c>
      <c r="B488" s="6"/>
      <c r="C488" s="6"/>
      <c r="D488" s="12">
        <v>118</v>
      </c>
      <c r="E488" s="7"/>
      <c r="F488" s="11" t="s">
        <v>220</v>
      </c>
    </row>
    <row r="489" spans="1:6" x14ac:dyDescent="0.25">
      <c r="A489" s="11" t="s">
        <v>23</v>
      </c>
      <c r="B489" s="6"/>
      <c r="C489" s="6"/>
      <c r="D489" s="12">
        <v>2500</v>
      </c>
      <c r="E489" s="7"/>
      <c r="F489" s="11" t="s">
        <v>221</v>
      </c>
    </row>
    <row r="490" spans="1:6" x14ac:dyDescent="0.25">
      <c r="A490" s="11" t="s">
        <v>23</v>
      </c>
      <c r="B490" s="6"/>
      <c r="C490" s="6"/>
      <c r="D490" s="12">
        <v>6490</v>
      </c>
      <c r="E490" s="7"/>
      <c r="F490" s="11" t="s">
        <v>221</v>
      </c>
    </row>
    <row r="491" spans="1:6" x14ac:dyDescent="0.25">
      <c r="A491" s="15" t="s">
        <v>24</v>
      </c>
      <c r="B491" s="16"/>
      <c r="C491" s="16"/>
      <c r="D491" s="17">
        <v>-797.76</v>
      </c>
      <c r="E491" s="18"/>
      <c r="F491" s="15" t="s">
        <v>162</v>
      </c>
    </row>
    <row r="492" spans="1:6" x14ac:dyDescent="0.25">
      <c r="A492" s="15" t="s">
        <v>24</v>
      </c>
      <c r="B492" s="16"/>
      <c r="C492" s="16"/>
      <c r="D492" s="17">
        <v>-1329.6</v>
      </c>
      <c r="E492" s="18"/>
      <c r="F492" s="15" t="s">
        <v>162</v>
      </c>
    </row>
    <row r="493" spans="1:6" x14ac:dyDescent="0.25">
      <c r="A493" s="15" t="s">
        <v>24</v>
      </c>
      <c r="B493" s="16">
        <v>1025</v>
      </c>
      <c r="C493" s="16">
        <v>9</v>
      </c>
      <c r="D493" s="17">
        <v>-13.23</v>
      </c>
      <c r="E493" s="18"/>
      <c r="F493" s="15" t="s">
        <v>25</v>
      </c>
    </row>
    <row r="494" spans="1:6" x14ac:dyDescent="0.25">
      <c r="A494" s="15" t="s">
        <v>24</v>
      </c>
      <c r="B494" s="16"/>
      <c r="C494" s="16"/>
      <c r="D494" s="17">
        <v>-4351.99</v>
      </c>
      <c r="E494" s="18"/>
      <c r="F494" s="15" t="s">
        <v>59</v>
      </c>
    </row>
    <row r="495" spans="1:6" x14ac:dyDescent="0.25">
      <c r="A495" s="15" t="s">
        <v>24</v>
      </c>
      <c r="B495" s="16"/>
      <c r="C495" s="16"/>
      <c r="D495" s="17">
        <v>-1018.44</v>
      </c>
      <c r="E495" s="18"/>
      <c r="F495" s="15" t="s">
        <v>222</v>
      </c>
    </row>
    <row r="496" spans="1:6" x14ac:dyDescent="0.25">
      <c r="A496" s="15" t="s">
        <v>24</v>
      </c>
      <c r="B496" s="16">
        <v>1004</v>
      </c>
      <c r="C496" s="16">
        <v>9</v>
      </c>
      <c r="D496" s="17">
        <v>-3323.6</v>
      </c>
      <c r="E496" s="18"/>
      <c r="F496" s="15" t="s">
        <v>68</v>
      </c>
    </row>
    <row r="497" spans="1:6" x14ac:dyDescent="0.25">
      <c r="A497" s="15" t="s">
        <v>24</v>
      </c>
      <c r="B497" s="16">
        <v>1004</v>
      </c>
      <c r="C497" s="16">
        <v>9</v>
      </c>
      <c r="D497" s="17">
        <v>-1572.05</v>
      </c>
      <c r="E497" s="18"/>
      <c r="F497" s="15" t="s">
        <v>31</v>
      </c>
    </row>
    <row r="498" spans="1:6" x14ac:dyDescent="0.25">
      <c r="A498" s="15" t="s">
        <v>24</v>
      </c>
      <c r="B498" s="16">
        <v>1004</v>
      </c>
      <c r="C498" s="16">
        <v>9</v>
      </c>
      <c r="D498" s="17">
        <v>-1086.52</v>
      </c>
      <c r="E498" s="18"/>
      <c r="F498" s="15" t="s">
        <v>33</v>
      </c>
    </row>
    <row r="499" spans="1:6" x14ac:dyDescent="0.25">
      <c r="A499" s="15" t="s">
        <v>24</v>
      </c>
      <c r="B499" s="16">
        <v>1004</v>
      </c>
      <c r="C499" s="16">
        <v>9</v>
      </c>
      <c r="D499" s="17">
        <v>-944.39</v>
      </c>
      <c r="E499" s="18"/>
      <c r="F499" s="15" t="s">
        <v>31</v>
      </c>
    </row>
    <row r="500" spans="1:6" x14ac:dyDescent="0.25">
      <c r="A500" s="15" t="s">
        <v>24</v>
      </c>
      <c r="B500" s="16"/>
      <c r="C500" s="16"/>
      <c r="D500" s="17">
        <v>-855.18</v>
      </c>
      <c r="E500" s="18"/>
      <c r="F500" s="15" t="s">
        <v>74</v>
      </c>
    </row>
    <row r="501" spans="1:6" x14ac:dyDescent="0.25">
      <c r="A501" s="15" t="s">
        <v>24</v>
      </c>
      <c r="B501" s="16">
        <v>1004</v>
      </c>
      <c r="C501" s="16">
        <v>9</v>
      </c>
      <c r="D501" s="17">
        <v>-738.64</v>
      </c>
      <c r="E501" s="18"/>
      <c r="F501" s="15" t="s">
        <v>28</v>
      </c>
    </row>
    <row r="502" spans="1:6" x14ac:dyDescent="0.25">
      <c r="A502" s="15" t="s">
        <v>24</v>
      </c>
      <c r="B502" s="16"/>
      <c r="C502" s="16"/>
      <c r="D502" s="17">
        <v>-3275.2</v>
      </c>
      <c r="E502" s="18"/>
      <c r="F502" s="15" t="s">
        <v>165</v>
      </c>
    </row>
    <row r="503" spans="1:6" x14ac:dyDescent="0.25">
      <c r="A503" s="15" t="s">
        <v>24</v>
      </c>
      <c r="B503" s="16">
        <v>1004</v>
      </c>
      <c r="C503" s="16">
        <v>9</v>
      </c>
      <c r="D503" s="17">
        <v>-528.63</v>
      </c>
      <c r="E503" s="18"/>
      <c r="F503" s="15" t="s">
        <v>26</v>
      </c>
    </row>
    <row r="504" spans="1:6" x14ac:dyDescent="0.25">
      <c r="A504" s="15" t="s">
        <v>24</v>
      </c>
      <c r="B504" s="16">
        <v>1004</v>
      </c>
      <c r="C504" s="16">
        <v>9</v>
      </c>
      <c r="D504" s="17">
        <v>-1042.47</v>
      </c>
      <c r="E504" s="18"/>
      <c r="F504" s="15" t="s">
        <v>33</v>
      </c>
    </row>
    <row r="505" spans="1:6" x14ac:dyDescent="0.25">
      <c r="A505" s="15" t="s">
        <v>24</v>
      </c>
      <c r="B505" s="16"/>
      <c r="C505" s="16"/>
      <c r="D505" s="17">
        <v>-528.63</v>
      </c>
      <c r="E505" s="18"/>
      <c r="F505" s="15" t="s">
        <v>74</v>
      </c>
    </row>
    <row r="506" spans="1:6" x14ac:dyDescent="0.25">
      <c r="A506" s="15" t="s">
        <v>24</v>
      </c>
      <c r="B506" s="16">
        <v>1004</v>
      </c>
      <c r="C506" s="16">
        <v>9</v>
      </c>
      <c r="D506" s="17">
        <v>-811.82</v>
      </c>
      <c r="E506" s="18"/>
      <c r="F506" s="15" t="s">
        <v>66</v>
      </c>
    </row>
    <row r="507" spans="1:6" x14ac:dyDescent="0.25">
      <c r="A507" s="15" t="s">
        <v>24</v>
      </c>
      <c r="B507" s="16">
        <v>1004</v>
      </c>
      <c r="C507" s="16">
        <v>9</v>
      </c>
      <c r="D507" s="17">
        <v>-882.42</v>
      </c>
      <c r="E507" s="18"/>
      <c r="F507" s="15" t="s">
        <v>45</v>
      </c>
    </row>
    <row r="508" spans="1:6" x14ac:dyDescent="0.25">
      <c r="A508" s="11" t="s">
        <v>24</v>
      </c>
      <c r="B508" s="6"/>
      <c r="C508" s="6"/>
      <c r="D508" s="12">
        <v>5318.6</v>
      </c>
      <c r="E508" s="7"/>
      <c r="F508" s="11" t="s">
        <v>223</v>
      </c>
    </row>
    <row r="509" spans="1:6" x14ac:dyDescent="0.25">
      <c r="A509" s="11" t="s">
        <v>24</v>
      </c>
      <c r="B509" s="6"/>
      <c r="C509" s="6"/>
      <c r="D509" s="12">
        <v>245.77</v>
      </c>
      <c r="E509" s="7"/>
      <c r="F509" s="11" t="s">
        <v>224</v>
      </c>
    </row>
    <row r="510" spans="1:6" x14ac:dyDescent="0.25">
      <c r="A510" s="11" t="s">
        <v>24</v>
      </c>
      <c r="B510" s="6"/>
      <c r="C510" s="6"/>
      <c r="D510" s="12">
        <v>89.2</v>
      </c>
      <c r="E510" s="7"/>
      <c r="F510" s="11" t="s">
        <v>37</v>
      </c>
    </row>
    <row r="511" spans="1:6" x14ac:dyDescent="0.25">
      <c r="A511" s="11" t="s">
        <v>24</v>
      </c>
      <c r="B511" s="6"/>
      <c r="C511" s="6"/>
      <c r="D511" s="12">
        <v>13750</v>
      </c>
      <c r="E511" s="7"/>
      <c r="F511" s="11" t="s">
        <v>225</v>
      </c>
    </row>
    <row r="512" spans="1:6" x14ac:dyDescent="0.25">
      <c r="A512" s="11" t="s">
        <v>24</v>
      </c>
      <c r="B512" s="6"/>
      <c r="C512" s="6"/>
      <c r="D512" s="12">
        <v>1750</v>
      </c>
      <c r="E512" s="7"/>
      <c r="F512" s="11" t="s">
        <v>225</v>
      </c>
    </row>
    <row r="513" spans="1:6" x14ac:dyDescent="0.25">
      <c r="A513" s="11" t="s">
        <v>24</v>
      </c>
      <c r="B513" s="6"/>
      <c r="C513" s="6"/>
      <c r="D513" s="12">
        <v>2200</v>
      </c>
      <c r="E513" s="7"/>
      <c r="F513" s="11" t="s">
        <v>226</v>
      </c>
    </row>
    <row r="514" spans="1:6" x14ac:dyDescent="0.25">
      <c r="A514" s="15" t="s">
        <v>24</v>
      </c>
      <c r="B514" s="16"/>
      <c r="C514" s="16"/>
      <c r="D514" s="17">
        <v>-253</v>
      </c>
      <c r="E514" s="18"/>
      <c r="F514" s="15" t="s">
        <v>88</v>
      </c>
    </row>
    <row r="515" spans="1:6" x14ac:dyDescent="0.25">
      <c r="A515" s="8"/>
      <c r="B515" s="6"/>
      <c r="C515" s="6"/>
      <c r="E515" s="7"/>
      <c r="F515" s="8"/>
    </row>
    <row r="516" spans="1:6" x14ac:dyDescent="0.25">
      <c r="A516" s="8"/>
      <c r="B516" s="6"/>
      <c r="C516" s="6"/>
      <c r="E516" s="7"/>
      <c r="F516" s="8"/>
    </row>
    <row r="517" spans="1:6" x14ac:dyDescent="0.25">
      <c r="A517" s="8"/>
      <c r="B517" s="6"/>
      <c r="C517" s="6"/>
      <c r="E517" s="7"/>
      <c r="F517" s="8"/>
    </row>
    <row r="518" spans="1:6" x14ac:dyDescent="0.25">
      <c r="A518" s="8"/>
      <c r="B518" s="6"/>
      <c r="C518" s="6"/>
      <c r="E518" s="7"/>
      <c r="F518" s="8"/>
    </row>
    <row r="519" spans="1:6" x14ac:dyDescent="0.25">
      <c r="A519" s="8"/>
      <c r="B519" s="6"/>
      <c r="C519" s="6"/>
      <c r="E519" s="7"/>
      <c r="F519" s="8"/>
    </row>
    <row r="520" spans="1:6" x14ac:dyDescent="0.25">
      <c r="A520" s="8"/>
      <c r="B520" s="6"/>
      <c r="C520" s="6"/>
      <c r="E520" s="7"/>
      <c r="F520" s="8"/>
    </row>
    <row r="521" spans="1:6" x14ac:dyDescent="0.25">
      <c r="A521" s="8"/>
      <c r="B521" s="6"/>
      <c r="C521" s="6"/>
      <c r="E521" s="7"/>
      <c r="F521" s="8"/>
    </row>
    <row r="522" spans="1:6" x14ac:dyDescent="0.25">
      <c r="A522" s="8"/>
      <c r="B522" s="6"/>
      <c r="C522" s="6"/>
      <c r="E522" s="7"/>
      <c r="F522" s="8"/>
    </row>
    <row r="523" spans="1:6" x14ac:dyDescent="0.25">
      <c r="A523" s="8"/>
      <c r="B523" s="6"/>
      <c r="C523" s="6"/>
      <c r="E523" s="7"/>
      <c r="F523" s="8"/>
    </row>
    <row r="524" spans="1:6" x14ac:dyDescent="0.25">
      <c r="A524" s="8"/>
      <c r="B524" s="6"/>
      <c r="C524" s="6"/>
      <c r="E524" s="7"/>
      <c r="F524" s="8"/>
    </row>
    <row r="525" spans="1:6" x14ac:dyDescent="0.25">
      <c r="A525" s="8"/>
      <c r="B525" s="6"/>
      <c r="C525" s="6"/>
      <c r="E525" s="7"/>
      <c r="F525" s="8"/>
    </row>
    <row r="526" spans="1:6" x14ac:dyDescent="0.25">
      <c r="A526" s="8"/>
      <c r="B526" s="6"/>
      <c r="C526" s="6"/>
      <c r="E526" s="7"/>
      <c r="F526" s="8"/>
    </row>
    <row r="527" spans="1:6" x14ac:dyDescent="0.25">
      <c r="A527" s="8"/>
      <c r="B527" s="6"/>
      <c r="C527" s="6"/>
      <c r="E527" s="7"/>
      <c r="F527" s="8"/>
    </row>
    <row r="528" spans="1:6" x14ac:dyDescent="0.25">
      <c r="A528" s="8"/>
      <c r="B528" s="6"/>
      <c r="C528" s="6"/>
      <c r="E528" s="7"/>
      <c r="F528" s="8"/>
    </row>
    <row r="529" spans="1:6" x14ac:dyDescent="0.25">
      <c r="A529" s="8"/>
      <c r="B529" s="6"/>
      <c r="C529" s="6"/>
      <c r="E529" s="7"/>
      <c r="F529" s="8"/>
    </row>
    <row r="530" spans="1:6" x14ac:dyDescent="0.25">
      <c r="A530" s="8"/>
      <c r="B530" s="6"/>
      <c r="C530" s="6"/>
      <c r="E530" s="7"/>
      <c r="F530" s="8"/>
    </row>
    <row r="531" spans="1:6" x14ac:dyDescent="0.25">
      <c r="A531" s="8"/>
      <c r="B531" s="6"/>
      <c r="C531" s="6"/>
      <c r="E531" s="7"/>
      <c r="F531" s="8"/>
    </row>
    <row r="532" spans="1:6" x14ac:dyDescent="0.25">
      <c r="A532" s="8"/>
      <c r="B532" s="6"/>
      <c r="C532" s="6"/>
      <c r="E532" s="7"/>
      <c r="F532" s="8"/>
    </row>
    <row r="533" spans="1:6" x14ac:dyDescent="0.25">
      <c r="A533" s="8"/>
      <c r="B533" s="6"/>
      <c r="C533" s="6"/>
      <c r="E533" s="7"/>
      <c r="F533" s="8"/>
    </row>
    <row r="534" spans="1:6" x14ac:dyDescent="0.25">
      <c r="A534" s="8"/>
      <c r="B534" s="6"/>
      <c r="C534" s="6"/>
      <c r="E534" s="7"/>
      <c r="F534" s="8"/>
    </row>
    <row r="535" spans="1:6" x14ac:dyDescent="0.25">
      <c r="A535" s="8"/>
      <c r="B535" s="6"/>
      <c r="C535" s="6"/>
      <c r="E535" s="7"/>
      <c r="F535" s="8"/>
    </row>
    <row r="536" spans="1:6" x14ac:dyDescent="0.25">
      <c r="A536" s="8"/>
      <c r="B536" s="6"/>
      <c r="C536" s="6"/>
      <c r="E536" s="7"/>
      <c r="F536" s="8"/>
    </row>
    <row r="537" spans="1:6" x14ac:dyDescent="0.25">
      <c r="A537" s="8"/>
      <c r="B537" s="6"/>
      <c r="C537" s="6"/>
      <c r="E537" s="7"/>
      <c r="F537" s="8"/>
    </row>
    <row r="538" spans="1:6" x14ac:dyDescent="0.25">
      <c r="A538" s="8"/>
      <c r="B538" s="6"/>
      <c r="C538" s="6"/>
      <c r="E538" s="7"/>
      <c r="F538" s="8"/>
    </row>
    <row r="539" spans="1:6" x14ac:dyDescent="0.25">
      <c r="A539" s="8"/>
      <c r="B539" s="6"/>
      <c r="C539" s="6"/>
      <c r="E539" s="7"/>
      <c r="F539" s="8"/>
    </row>
    <row r="540" spans="1:6" x14ac:dyDescent="0.25">
      <c r="A540" s="8"/>
      <c r="B540" s="6"/>
      <c r="C540" s="6"/>
      <c r="E540" s="7"/>
      <c r="F540" s="8"/>
    </row>
    <row r="541" spans="1:6" x14ac:dyDescent="0.25">
      <c r="A541" s="8"/>
      <c r="B541" s="6"/>
      <c r="C541" s="6"/>
      <c r="E541" s="7"/>
      <c r="F541" s="8"/>
    </row>
    <row r="542" spans="1:6" x14ac:dyDescent="0.25">
      <c r="A542" s="8"/>
      <c r="B542" s="6"/>
      <c r="C542" s="6"/>
      <c r="E542" s="7"/>
      <c r="F542" s="8"/>
    </row>
    <row r="543" spans="1:6" x14ac:dyDescent="0.25">
      <c r="A543" s="8"/>
      <c r="B543" s="6"/>
      <c r="C543" s="6"/>
      <c r="E543" s="7"/>
      <c r="F543" s="8"/>
    </row>
    <row r="544" spans="1:6" x14ac:dyDescent="0.25">
      <c r="A544" s="8"/>
      <c r="B544" s="6"/>
      <c r="C544" s="6"/>
      <c r="E544" s="7"/>
      <c r="F544" s="8"/>
    </row>
    <row r="545" spans="1:6" x14ac:dyDescent="0.25">
      <c r="A545" s="8"/>
      <c r="B545" s="6"/>
      <c r="C545" s="6"/>
      <c r="E545" s="7"/>
      <c r="F545" s="8"/>
    </row>
    <row r="546" spans="1:6" x14ac:dyDescent="0.25">
      <c r="A546" s="8"/>
      <c r="B546" s="6"/>
      <c r="C546" s="6"/>
      <c r="E546" s="7"/>
      <c r="F546" s="8"/>
    </row>
    <row r="547" spans="1:6" x14ac:dyDescent="0.25">
      <c r="A547" s="8"/>
      <c r="B547" s="6"/>
      <c r="C547" s="6"/>
      <c r="E547" s="7"/>
      <c r="F547" s="8"/>
    </row>
    <row r="548" spans="1:6" x14ac:dyDescent="0.25">
      <c r="A548" s="8"/>
      <c r="B548" s="6"/>
      <c r="C548" s="6"/>
      <c r="E548" s="7"/>
      <c r="F548" s="8"/>
    </row>
    <row r="549" spans="1:6" x14ac:dyDescent="0.25">
      <c r="A549" s="8"/>
      <c r="B549" s="6"/>
      <c r="C549" s="6"/>
      <c r="E549" s="7"/>
      <c r="F549" s="8"/>
    </row>
    <row r="550" spans="1:6" x14ac:dyDescent="0.25">
      <c r="A550" s="8"/>
      <c r="B550" s="6"/>
      <c r="C550" s="6"/>
      <c r="E550" s="7"/>
      <c r="F550" s="8"/>
    </row>
    <row r="551" spans="1:6" x14ac:dyDescent="0.25">
      <c r="A551" s="8"/>
      <c r="B551" s="6"/>
      <c r="C551" s="6"/>
      <c r="E551" s="7"/>
      <c r="F551" s="8"/>
    </row>
    <row r="552" spans="1:6" x14ac:dyDescent="0.25">
      <c r="A552" s="8"/>
      <c r="B552" s="6"/>
      <c r="C552" s="6"/>
      <c r="E552" s="7"/>
      <c r="F552" s="8"/>
    </row>
    <row r="553" spans="1:6" x14ac:dyDescent="0.25">
      <c r="A553" s="8"/>
      <c r="B553" s="6"/>
      <c r="C553" s="6"/>
      <c r="E553" s="7"/>
      <c r="F553" s="8"/>
    </row>
    <row r="554" spans="1:6" x14ac:dyDescent="0.25">
      <c r="A554" s="8"/>
      <c r="B554" s="6"/>
      <c r="C554" s="6"/>
      <c r="E554" s="7"/>
      <c r="F554" s="8"/>
    </row>
    <row r="555" spans="1:6" x14ac:dyDescent="0.25">
      <c r="A555" s="8"/>
      <c r="B555" s="6"/>
      <c r="C555" s="6"/>
      <c r="E555" s="7"/>
      <c r="F555" s="8"/>
    </row>
    <row r="556" spans="1:6" x14ac:dyDescent="0.25">
      <c r="A556" s="8"/>
      <c r="B556" s="6"/>
      <c r="C556" s="6"/>
      <c r="E556" s="7"/>
      <c r="F556" s="8"/>
    </row>
    <row r="557" spans="1:6" x14ac:dyDescent="0.25">
      <c r="A557" s="8"/>
      <c r="B557" s="6"/>
      <c r="C557" s="6"/>
      <c r="E557" s="7"/>
      <c r="F557" s="8"/>
    </row>
    <row r="558" spans="1:6" x14ac:dyDescent="0.25">
      <c r="A558" s="8"/>
      <c r="B558" s="6"/>
      <c r="C558" s="6"/>
      <c r="E558" s="7"/>
      <c r="F558" s="8"/>
    </row>
    <row r="559" spans="1:6" x14ac:dyDescent="0.25">
      <c r="A559" s="8"/>
      <c r="B559" s="6"/>
      <c r="C559" s="6"/>
      <c r="E559" s="7"/>
      <c r="F559" s="8"/>
    </row>
    <row r="560" spans="1:6" x14ac:dyDescent="0.25">
      <c r="A560" s="8"/>
      <c r="B560" s="6"/>
      <c r="C560" s="6"/>
      <c r="E560" s="7"/>
      <c r="F560" s="8"/>
    </row>
    <row r="561" spans="1:6" x14ac:dyDescent="0.25">
      <c r="A561" s="8"/>
      <c r="B561" s="6"/>
      <c r="C561" s="6"/>
      <c r="E561" s="7"/>
      <c r="F561" s="8"/>
    </row>
    <row r="562" spans="1:6" x14ac:dyDescent="0.25">
      <c r="A562" s="8"/>
      <c r="B562" s="6"/>
      <c r="C562" s="6"/>
      <c r="E562" s="7"/>
      <c r="F562" s="8"/>
    </row>
    <row r="563" spans="1:6" x14ac:dyDescent="0.25">
      <c r="A563" s="8"/>
      <c r="B563" s="6"/>
      <c r="C563" s="6"/>
      <c r="E563" s="7"/>
      <c r="F563" s="8"/>
    </row>
    <row r="564" spans="1:6" x14ac:dyDescent="0.25">
      <c r="A564" s="8"/>
      <c r="B564" s="6"/>
      <c r="C564" s="6"/>
      <c r="E564" s="7"/>
      <c r="F564" s="8"/>
    </row>
    <row r="565" spans="1:6" x14ac:dyDescent="0.25">
      <c r="A565" s="8"/>
      <c r="B565" s="6"/>
      <c r="C565" s="6"/>
      <c r="E565" s="7"/>
      <c r="F565" s="8"/>
    </row>
    <row r="566" spans="1:6" x14ac:dyDescent="0.25">
      <c r="A566" s="8"/>
      <c r="B566" s="6"/>
      <c r="C566" s="6"/>
      <c r="E566" s="7"/>
      <c r="F566" s="8"/>
    </row>
    <row r="567" spans="1:6" x14ac:dyDescent="0.25">
      <c r="A567" s="8"/>
      <c r="B567" s="6"/>
      <c r="C567" s="6"/>
      <c r="E567" s="7"/>
      <c r="F567" s="8"/>
    </row>
    <row r="568" spans="1:6" x14ac:dyDescent="0.25">
      <c r="A568" s="8"/>
      <c r="B568" s="6"/>
      <c r="C568" s="6"/>
      <c r="E568" s="7"/>
      <c r="F568" s="8"/>
    </row>
    <row r="569" spans="1:6" x14ac:dyDescent="0.25">
      <c r="A569" s="8"/>
      <c r="B569" s="6"/>
      <c r="C569" s="6"/>
      <c r="E569" s="7"/>
      <c r="F569" s="8"/>
    </row>
    <row r="570" spans="1:6" x14ac:dyDescent="0.25">
      <c r="A570" s="8"/>
      <c r="B570" s="6"/>
      <c r="C570" s="6"/>
      <c r="E570" s="7"/>
      <c r="F570" s="8"/>
    </row>
    <row r="571" spans="1:6" x14ac:dyDescent="0.25">
      <c r="A571" s="8"/>
      <c r="B571" s="6"/>
      <c r="C571" s="6"/>
      <c r="E571" s="7"/>
      <c r="F571" s="8"/>
    </row>
    <row r="572" spans="1:6" x14ac:dyDescent="0.25">
      <c r="A572" s="8"/>
      <c r="B572" s="6"/>
      <c r="C572" s="6"/>
      <c r="E572" s="7"/>
      <c r="F572" s="8"/>
    </row>
    <row r="573" spans="1:6" x14ac:dyDescent="0.25">
      <c r="A573" s="8"/>
      <c r="B573" s="6"/>
      <c r="C573" s="6"/>
      <c r="E573" s="7"/>
      <c r="F573" s="8"/>
    </row>
    <row r="574" spans="1:6" x14ac:dyDescent="0.25">
      <c r="A574" s="8"/>
      <c r="B574" s="6"/>
      <c r="C574" s="6"/>
      <c r="E574" s="7"/>
      <c r="F574" s="8"/>
    </row>
    <row r="575" spans="1:6" x14ac:dyDescent="0.25">
      <c r="A575" s="8"/>
      <c r="B575" s="6"/>
      <c r="C575" s="6"/>
      <c r="E575" s="7"/>
      <c r="F575" s="8"/>
    </row>
    <row r="576" spans="1:6" x14ac:dyDescent="0.25">
      <c r="A576" s="8"/>
      <c r="B576" s="6"/>
      <c r="C576" s="6"/>
      <c r="E576" s="7"/>
      <c r="F576" s="8"/>
    </row>
    <row r="577" spans="1:6" x14ac:dyDescent="0.25">
      <c r="A577" s="8"/>
      <c r="B577" s="6"/>
      <c r="C577" s="6"/>
      <c r="E577" s="7"/>
      <c r="F577" s="8"/>
    </row>
    <row r="578" spans="1:6" x14ac:dyDescent="0.25">
      <c r="A578" s="8"/>
      <c r="B578" s="6"/>
      <c r="C578" s="6"/>
      <c r="E578" s="7"/>
      <c r="F578" s="8"/>
    </row>
    <row r="579" spans="1:6" x14ac:dyDescent="0.25">
      <c r="A579" s="8"/>
      <c r="B579" s="6"/>
      <c r="C579" s="6"/>
      <c r="E579" s="7"/>
      <c r="F579" s="8"/>
    </row>
    <row r="580" spans="1:6" x14ac:dyDescent="0.25">
      <c r="A580" s="8"/>
      <c r="B580" s="6"/>
      <c r="C580" s="6"/>
      <c r="E580" s="7"/>
      <c r="F580" s="8"/>
    </row>
    <row r="581" spans="1:6" x14ac:dyDescent="0.25">
      <c r="A581" s="8"/>
      <c r="B581" s="6"/>
      <c r="C581" s="6"/>
      <c r="E581" s="7"/>
      <c r="F581" s="8"/>
    </row>
    <row r="582" spans="1:6" x14ac:dyDescent="0.25">
      <c r="A582" s="8"/>
      <c r="B582" s="6"/>
      <c r="C582" s="6"/>
      <c r="E582" s="7"/>
      <c r="F582" s="8"/>
    </row>
    <row r="583" spans="1:6" x14ac:dyDescent="0.25">
      <c r="A583" s="8"/>
      <c r="B583" s="6"/>
      <c r="C583" s="6"/>
      <c r="E583" s="7"/>
      <c r="F583" s="8"/>
    </row>
    <row r="584" spans="1:6" x14ac:dyDescent="0.25">
      <c r="A584" s="8"/>
      <c r="B584" s="6"/>
      <c r="C584" s="6"/>
      <c r="E584" s="7"/>
      <c r="F584" s="8"/>
    </row>
    <row r="585" spans="1:6" x14ac:dyDescent="0.25">
      <c r="A585" s="8"/>
      <c r="B585" s="6"/>
      <c r="C585" s="6"/>
      <c r="E585" s="7"/>
      <c r="F585" s="8"/>
    </row>
    <row r="586" spans="1:6" x14ac:dyDescent="0.25">
      <c r="A586" s="8"/>
      <c r="B586" s="6"/>
      <c r="C586" s="6"/>
      <c r="E586" s="7"/>
      <c r="F586" s="8"/>
    </row>
    <row r="587" spans="1:6" x14ac:dyDescent="0.25">
      <c r="A587" s="8"/>
      <c r="B587" s="6"/>
      <c r="C587" s="6"/>
      <c r="E587" s="7"/>
      <c r="F587" s="8"/>
    </row>
    <row r="588" spans="1:6" x14ac:dyDescent="0.25">
      <c r="A588" s="8"/>
      <c r="B588" s="6"/>
      <c r="C588" s="6"/>
      <c r="E588" s="7"/>
      <c r="F588" s="8"/>
    </row>
    <row r="589" spans="1:6" x14ac:dyDescent="0.25">
      <c r="A589" s="8"/>
      <c r="B589" s="6"/>
      <c r="C589" s="6"/>
      <c r="E589" s="7"/>
      <c r="F589" s="8"/>
    </row>
    <row r="590" spans="1:6" x14ac:dyDescent="0.25">
      <c r="A590" s="8"/>
      <c r="B590" s="6"/>
      <c r="C590" s="6"/>
      <c r="E590" s="7"/>
      <c r="F590" s="8"/>
    </row>
    <row r="591" spans="1:6" x14ac:dyDescent="0.25">
      <c r="A591" s="8"/>
      <c r="B591" s="6"/>
      <c r="C591" s="6"/>
      <c r="E591" s="7"/>
      <c r="F591" s="8"/>
    </row>
    <row r="592" spans="1:6" x14ac:dyDescent="0.25">
      <c r="A592" s="8"/>
      <c r="B592" s="6"/>
      <c r="C592" s="6"/>
      <c r="E592" s="7"/>
      <c r="F592" s="8"/>
    </row>
    <row r="593" spans="1:6" x14ac:dyDescent="0.25">
      <c r="A593" s="8"/>
      <c r="B593" s="6"/>
      <c r="C593" s="6"/>
      <c r="E593" s="7"/>
      <c r="F593" s="8"/>
    </row>
    <row r="594" spans="1:6" x14ac:dyDescent="0.25">
      <c r="A594" s="8"/>
      <c r="B594" s="6"/>
      <c r="C594" s="6"/>
      <c r="E594" s="7"/>
      <c r="F594" s="8"/>
    </row>
    <row r="595" spans="1:6" x14ac:dyDescent="0.25">
      <c r="A595" s="8"/>
      <c r="B595" s="6"/>
      <c r="C595" s="6"/>
      <c r="E595" s="7"/>
      <c r="F595" s="8"/>
    </row>
    <row r="596" spans="1:6" x14ac:dyDescent="0.25">
      <c r="A596" s="8"/>
      <c r="B596" s="6"/>
      <c r="C596" s="6"/>
      <c r="E596" s="7"/>
      <c r="F596" s="8"/>
    </row>
    <row r="597" spans="1:6" x14ac:dyDescent="0.25">
      <c r="A597" s="8"/>
      <c r="B597" s="6"/>
      <c r="C597" s="6"/>
      <c r="E597" s="7"/>
      <c r="F597" s="8"/>
    </row>
    <row r="598" spans="1:6" x14ac:dyDescent="0.25">
      <c r="A598" s="8"/>
      <c r="B598" s="6"/>
      <c r="C598" s="6"/>
      <c r="E598" s="7"/>
      <c r="F598" s="8"/>
    </row>
    <row r="599" spans="1:6" x14ac:dyDescent="0.25">
      <c r="A599" s="8"/>
      <c r="B599" s="6"/>
      <c r="C599" s="6"/>
      <c r="E599" s="7"/>
      <c r="F599" s="8"/>
    </row>
    <row r="600" spans="1:6" x14ac:dyDescent="0.25">
      <c r="A600" s="8"/>
      <c r="B600" s="6"/>
      <c r="C600" s="6"/>
      <c r="E600" s="7"/>
      <c r="F600" s="8"/>
    </row>
    <row r="601" spans="1:6" x14ac:dyDescent="0.25">
      <c r="A601" s="8"/>
      <c r="B601" s="6"/>
      <c r="C601" s="6"/>
      <c r="E601" s="7"/>
      <c r="F601" s="8"/>
    </row>
    <row r="602" spans="1:6" x14ac:dyDescent="0.25">
      <c r="A602" s="8"/>
      <c r="B602" s="6"/>
      <c r="C602" s="6"/>
      <c r="E602" s="7"/>
      <c r="F602" s="8"/>
    </row>
    <row r="603" spans="1:6" x14ac:dyDescent="0.25">
      <c r="A603" s="8"/>
      <c r="B603" s="6"/>
      <c r="C603" s="6"/>
      <c r="E603" s="7"/>
      <c r="F603" s="8"/>
    </row>
    <row r="604" spans="1:6" x14ac:dyDescent="0.25">
      <c r="A604" s="8"/>
      <c r="B604" s="6"/>
      <c r="C604" s="6"/>
      <c r="E604" s="7"/>
      <c r="F604" s="8"/>
    </row>
    <row r="605" spans="1:6" x14ac:dyDescent="0.25">
      <c r="A605" s="8"/>
      <c r="B605" s="6"/>
      <c r="C605" s="6"/>
      <c r="E605" s="7"/>
      <c r="F605" s="8"/>
    </row>
    <row r="606" spans="1:6" x14ac:dyDescent="0.25">
      <c r="A606" s="8"/>
      <c r="B606" s="6"/>
      <c r="C606" s="6"/>
      <c r="E606" s="7"/>
      <c r="F606" s="8"/>
    </row>
    <row r="607" spans="1:6" x14ac:dyDescent="0.25">
      <c r="A607" s="8"/>
      <c r="B607" s="6"/>
      <c r="C607" s="6"/>
      <c r="E607" s="7"/>
      <c r="F607" s="8"/>
    </row>
    <row r="608" spans="1:6" x14ac:dyDescent="0.25">
      <c r="A608" s="8"/>
      <c r="B608" s="6"/>
      <c r="C608" s="6"/>
      <c r="E608" s="7"/>
      <c r="F608" s="8"/>
    </row>
    <row r="609" spans="1:6" x14ac:dyDescent="0.25">
      <c r="A609" s="8"/>
      <c r="B609" s="6"/>
      <c r="C609" s="6"/>
      <c r="E609" s="7"/>
      <c r="F609" s="8"/>
    </row>
    <row r="610" spans="1:6" x14ac:dyDescent="0.25">
      <c r="A610" s="8"/>
      <c r="B610" s="6"/>
      <c r="C610" s="6"/>
      <c r="E610" s="7"/>
      <c r="F610" s="8"/>
    </row>
    <row r="611" spans="1:6" x14ac:dyDescent="0.25">
      <c r="A611" s="5"/>
      <c r="B611" s="6"/>
      <c r="C611" s="6"/>
      <c r="E611" s="7"/>
      <c r="F611" s="8"/>
    </row>
    <row r="612" spans="1:6" x14ac:dyDescent="0.25">
      <c r="A612" s="5"/>
      <c r="B612" s="6"/>
      <c r="C612" s="6"/>
      <c r="E612" s="7"/>
      <c r="F612" s="8"/>
    </row>
    <row r="613" spans="1:6" x14ac:dyDescent="0.25">
      <c r="A613" s="5"/>
      <c r="B613" s="6"/>
      <c r="C613" s="6"/>
      <c r="E613" s="7"/>
      <c r="F613" s="8"/>
    </row>
    <row r="614" spans="1:6" x14ac:dyDescent="0.25">
      <c r="A614" s="5"/>
      <c r="B614" s="6"/>
      <c r="C614" s="6"/>
      <c r="E614" s="7"/>
      <c r="F614" s="8"/>
    </row>
    <row r="615" spans="1:6" x14ac:dyDescent="0.25">
      <c r="A615" s="5"/>
      <c r="B615" s="6"/>
      <c r="C615" s="6"/>
      <c r="E615" s="7"/>
      <c r="F615" s="8"/>
    </row>
    <row r="616" spans="1:6" x14ac:dyDescent="0.25">
      <c r="A616" s="5"/>
      <c r="B616" s="6"/>
      <c r="C616" s="6"/>
      <c r="E616" s="7"/>
      <c r="F616" s="8"/>
    </row>
    <row r="617" spans="1:6" x14ac:dyDescent="0.25">
      <c r="A617" s="5"/>
      <c r="B617" s="6"/>
      <c r="C617" s="6"/>
      <c r="E617" s="7"/>
      <c r="F617" s="8"/>
    </row>
    <row r="618" spans="1:6" x14ac:dyDescent="0.25">
      <c r="A618" s="5"/>
      <c r="B618" s="6"/>
      <c r="C618" s="6"/>
      <c r="E618" s="7"/>
      <c r="F618" s="8"/>
    </row>
    <row r="619" spans="1:6" x14ac:dyDescent="0.25">
      <c r="A619" s="5"/>
      <c r="B619" s="6"/>
      <c r="C619" s="6"/>
      <c r="E619" s="7"/>
      <c r="F619" s="8"/>
    </row>
    <row r="620" spans="1:6" x14ac:dyDescent="0.25">
      <c r="A620" s="5"/>
      <c r="B620" s="6"/>
      <c r="C620" s="6"/>
      <c r="E620" s="7"/>
      <c r="F620" s="8"/>
    </row>
    <row r="621" spans="1:6" x14ac:dyDescent="0.25">
      <c r="A621" s="5"/>
      <c r="B621" s="6"/>
      <c r="C621" s="6"/>
      <c r="E621" s="7"/>
      <c r="F621" s="8"/>
    </row>
    <row r="622" spans="1:6" x14ac:dyDescent="0.25">
      <c r="A622" s="5"/>
      <c r="B622" s="6"/>
      <c r="C622" s="6"/>
      <c r="E622" s="7"/>
      <c r="F622" s="8"/>
    </row>
    <row r="623" spans="1:6" x14ac:dyDescent="0.25">
      <c r="A623" s="5"/>
      <c r="B623" s="6"/>
      <c r="C623" s="6"/>
      <c r="E623" s="7"/>
      <c r="F623" s="8"/>
    </row>
    <row r="624" spans="1:6" x14ac:dyDescent="0.25">
      <c r="A624" s="5"/>
      <c r="B624" s="6"/>
      <c r="C624" s="6"/>
      <c r="E624" s="7"/>
      <c r="F624" s="8"/>
    </row>
    <row r="625" spans="1:6" x14ac:dyDescent="0.25">
      <c r="A625" s="5"/>
      <c r="B625" s="6"/>
      <c r="C625" s="6"/>
      <c r="E625" s="7"/>
      <c r="F625" s="8"/>
    </row>
    <row r="626" spans="1:6" x14ac:dyDescent="0.25">
      <c r="A626" s="5"/>
      <c r="B626" s="6"/>
      <c r="C626" s="6"/>
      <c r="E626" s="7"/>
      <c r="F626" s="8"/>
    </row>
    <row r="627" spans="1:6" x14ac:dyDescent="0.25">
      <c r="A627" s="5"/>
      <c r="B627" s="6"/>
      <c r="C627" s="6"/>
      <c r="E627" s="7"/>
      <c r="F627" s="8"/>
    </row>
    <row r="628" spans="1:6" x14ac:dyDescent="0.25">
      <c r="A628" s="5"/>
      <c r="B628" s="6"/>
      <c r="C628" s="6"/>
      <c r="E628" s="7"/>
      <c r="F628" s="8"/>
    </row>
    <row r="629" spans="1:6" x14ac:dyDescent="0.25">
      <c r="A629" s="5"/>
      <c r="B629" s="6"/>
      <c r="C629" s="6"/>
      <c r="E629" s="7"/>
      <c r="F629" s="8"/>
    </row>
    <row r="630" spans="1:6" x14ac:dyDescent="0.25">
      <c r="A630" s="5"/>
      <c r="B630" s="6"/>
      <c r="C630" s="6"/>
      <c r="E630" s="7"/>
      <c r="F630" s="8"/>
    </row>
    <row r="631" spans="1:6" x14ac:dyDescent="0.25">
      <c r="A631" s="5"/>
      <c r="B631" s="6"/>
      <c r="C631" s="6"/>
      <c r="E631" s="7"/>
      <c r="F631" s="8"/>
    </row>
    <row r="632" spans="1:6" x14ac:dyDescent="0.25">
      <c r="A632" s="5"/>
      <c r="B632" s="6"/>
      <c r="C632" s="6"/>
      <c r="E632" s="7"/>
      <c r="F632" s="8"/>
    </row>
    <row r="633" spans="1:6" x14ac:dyDescent="0.25">
      <c r="A633" s="5"/>
      <c r="B633" s="6"/>
      <c r="C633" s="6"/>
      <c r="E633" s="7"/>
      <c r="F633" s="8"/>
    </row>
    <row r="634" spans="1:6" x14ac:dyDescent="0.25">
      <c r="A634" s="5"/>
      <c r="B634" s="6"/>
      <c r="C634" s="6"/>
      <c r="E634" s="7"/>
      <c r="F634" s="8"/>
    </row>
    <row r="635" spans="1:6" x14ac:dyDescent="0.25">
      <c r="A635" s="5"/>
      <c r="B635" s="6"/>
      <c r="C635" s="6"/>
      <c r="E635" s="7"/>
      <c r="F635" s="8"/>
    </row>
    <row r="636" spans="1:6" x14ac:dyDescent="0.25">
      <c r="A636" s="5"/>
      <c r="B636" s="6"/>
      <c r="C636" s="6"/>
      <c r="E636" s="7"/>
      <c r="F636" s="8"/>
    </row>
    <row r="637" spans="1:6" x14ac:dyDescent="0.25">
      <c r="A637" s="5"/>
      <c r="B637" s="6"/>
      <c r="C637" s="6"/>
      <c r="E637" s="7"/>
      <c r="F637" s="8"/>
    </row>
    <row r="638" spans="1:6" x14ac:dyDescent="0.25">
      <c r="A638" s="5"/>
      <c r="B638" s="6"/>
      <c r="C638" s="6"/>
      <c r="E638" s="7"/>
      <c r="F638" s="8"/>
    </row>
    <row r="639" spans="1:6" x14ac:dyDescent="0.25">
      <c r="A639" s="5"/>
      <c r="B639" s="6"/>
      <c r="C639" s="6"/>
      <c r="E639" s="7"/>
      <c r="F639" s="8"/>
    </row>
    <row r="640" spans="1:6" x14ac:dyDescent="0.25">
      <c r="A640" s="5"/>
      <c r="B640" s="6"/>
      <c r="C640" s="6"/>
      <c r="E640" s="7"/>
      <c r="F640" s="8"/>
    </row>
    <row r="641" spans="1:6" x14ac:dyDescent="0.25">
      <c r="A641" s="5"/>
      <c r="B641" s="6"/>
      <c r="C641" s="6"/>
      <c r="E641" s="7"/>
      <c r="F641" s="8"/>
    </row>
    <row r="642" spans="1:6" x14ac:dyDescent="0.25">
      <c r="A642" s="5"/>
      <c r="B642" s="6"/>
      <c r="C642" s="6"/>
      <c r="E642" s="7"/>
      <c r="F642" s="8"/>
    </row>
    <row r="643" spans="1:6" x14ac:dyDescent="0.25">
      <c r="A643" s="5"/>
      <c r="B643" s="6"/>
      <c r="C643" s="6"/>
      <c r="E643" s="7"/>
      <c r="F643" s="8"/>
    </row>
    <row r="644" spans="1:6" x14ac:dyDescent="0.25">
      <c r="A644" s="5"/>
      <c r="B644" s="6"/>
      <c r="C644" s="6"/>
      <c r="E644" s="7"/>
      <c r="F644" s="8"/>
    </row>
    <row r="645" spans="1:6" x14ac:dyDescent="0.25">
      <c r="A645" s="5"/>
      <c r="B645" s="6"/>
      <c r="C645" s="6"/>
      <c r="E645" s="7"/>
      <c r="F645" s="8"/>
    </row>
    <row r="646" spans="1:6" x14ac:dyDescent="0.25">
      <c r="A646" s="5"/>
      <c r="B646" s="6"/>
      <c r="C646" s="6"/>
      <c r="E646" s="7"/>
      <c r="F646" s="8"/>
    </row>
    <row r="647" spans="1:6" x14ac:dyDescent="0.25">
      <c r="A647" s="5"/>
      <c r="B647" s="6"/>
      <c r="C647" s="6"/>
      <c r="E647" s="7"/>
      <c r="F647" s="8"/>
    </row>
    <row r="648" spans="1:6" x14ac:dyDescent="0.25">
      <c r="A648" s="5"/>
      <c r="B648" s="6"/>
      <c r="C648" s="6"/>
      <c r="E648" s="7"/>
      <c r="F648" s="8"/>
    </row>
    <row r="649" spans="1:6" x14ac:dyDescent="0.25">
      <c r="A649" s="5"/>
      <c r="B649" s="6"/>
      <c r="C649" s="6"/>
      <c r="E649" s="7"/>
      <c r="F649" s="8"/>
    </row>
    <row r="650" spans="1:6" x14ac:dyDescent="0.25">
      <c r="A650" s="5"/>
      <c r="B650" s="6"/>
      <c r="C650" s="6"/>
      <c r="E650" s="7"/>
      <c r="F650" s="8"/>
    </row>
    <row r="651" spans="1:6" x14ac:dyDescent="0.25">
      <c r="A651" s="5"/>
      <c r="B651" s="6"/>
      <c r="C651" s="6"/>
      <c r="E651" s="7"/>
      <c r="F651" s="8"/>
    </row>
    <row r="652" spans="1:6" x14ac:dyDescent="0.25">
      <c r="A652" s="5"/>
      <c r="B652" s="6"/>
      <c r="C652" s="6"/>
      <c r="E652" s="7"/>
      <c r="F652" s="8"/>
    </row>
    <row r="653" spans="1:6" x14ac:dyDescent="0.25">
      <c r="A653" s="5"/>
      <c r="B653" s="6"/>
      <c r="C653" s="6"/>
      <c r="E653" s="7"/>
      <c r="F653" s="8"/>
    </row>
    <row r="654" spans="1:6" x14ac:dyDescent="0.25">
      <c r="A654" s="5"/>
      <c r="B654" s="6"/>
      <c r="C654" s="6"/>
      <c r="E654" s="7"/>
      <c r="F654" s="8"/>
    </row>
    <row r="655" spans="1:6" x14ac:dyDescent="0.25">
      <c r="A655" s="5"/>
      <c r="B655" s="6"/>
      <c r="C655" s="6"/>
      <c r="E655" s="7"/>
      <c r="F655" s="8"/>
    </row>
    <row r="656" spans="1:6" x14ac:dyDescent="0.25">
      <c r="A656" s="5"/>
      <c r="B656" s="6"/>
      <c r="C656" s="6"/>
      <c r="E656" s="7"/>
      <c r="F656" s="8"/>
    </row>
    <row r="657" spans="1:6" x14ac:dyDescent="0.25">
      <c r="A657" s="5"/>
      <c r="B657" s="6"/>
      <c r="C657" s="6"/>
      <c r="E657" s="7"/>
      <c r="F657" s="8"/>
    </row>
    <row r="658" spans="1:6" x14ac:dyDescent="0.25">
      <c r="A658" s="5"/>
      <c r="B658" s="6"/>
      <c r="C658" s="6"/>
      <c r="E658" s="7"/>
      <c r="F658" s="8"/>
    </row>
    <row r="659" spans="1:6" x14ac:dyDescent="0.25">
      <c r="A659" s="5"/>
      <c r="B659" s="6"/>
      <c r="C659" s="6"/>
      <c r="E659" s="7"/>
      <c r="F659" s="8"/>
    </row>
    <row r="660" spans="1:6" x14ac:dyDescent="0.25">
      <c r="A660" s="5"/>
      <c r="B660" s="6"/>
      <c r="C660" s="6"/>
      <c r="E660" s="7"/>
      <c r="F660" s="8"/>
    </row>
    <row r="661" spans="1:6" x14ac:dyDescent="0.25">
      <c r="A661" s="5"/>
      <c r="B661" s="6"/>
      <c r="C661" s="6"/>
      <c r="E661" s="7"/>
      <c r="F661" s="8"/>
    </row>
    <row r="662" spans="1:6" x14ac:dyDescent="0.25">
      <c r="A662" s="5"/>
      <c r="B662" s="6"/>
      <c r="C662" s="6"/>
      <c r="E662" s="7"/>
      <c r="F662" s="8"/>
    </row>
    <row r="663" spans="1:6" x14ac:dyDescent="0.25">
      <c r="A663" s="5"/>
      <c r="B663" s="6"/>
      <c r="C663" s="6"/>
      <c r="E663" s="7"/>
      <c r="F663" s="8"/>
    </row>
    <row r="664" spans="1:6" x14ac:dyDescent="0.25">
      <c r="A664" s="5"/>
      <c r="B664" s="6"/>
      <c r="C664" s="6"/>
      <c r="E664" s="7"/>
      <c r="F664" s="8"/>
    </row>
    <row r="665" spans="1:6" x14ac:dyDescent="0.25">
      <c r="A665" s="5"/>
      <c r="B665" s="6"/>
      <c r="C665" s="6"/>
      <c r="E665" s="7"/>
      <c r="F665" s="8"/>
    </row>
    <row r="666" spans="1:6" x14ac:dyDescent="0.25">
      <c r="A666" s="5"/>
      <c r="B666" s="6"/>
      <c r="C666" s="6"/>
      <c r="E666" s="7"/>
      <c r="F666" s="8"/>
    </row>
    <row r="667" spans="1:6" x14ac:dyDescent="0.25">
      <c r="A667" s="5"/>
      <c r="B667" s="6"/>
      <c r="C667" s="6"/>
      <c r="E667" s="7"/>
      <c r="F667" s="8"/>
    </row>
    <row r="668" spans="1:6" x14ac:dyDescent="0.25">
      <c r="A668" s="5"/>
      <c r="B668" s="6"/>
      <c r="C668" s="6"/>
      <c r="E668" s="7"/>
      <c r="F668" s="8"/>
    </row>
    <row r="669" spans="1:6" x14ac:dyDescent="0.25">
      <c r="A669" s="5"/>
      <c r="B669" s="6"/>
      <c r="C669" s="6"/>
      <c r="E669" s="7"/>
      <c r="F669" s="8"/>
    </row>
    <row r="670" spans="1:6" x14ac:dyDescent="0.25">
      <c r="A670" s="5"/>
      <c r="B670" s="6"/>
      <c r="C670" s="6"/>
      <c r="E670" s="7"/>
      <c r="F670" s="8"/>
    </row>
    <row r="671" spans="1:6" x14ac:dyDescent="0.25">
      <c r="A671" s="5"/>
      <c r="B671" s="6"/>
      <c r="C671" s="6"/>
      <c r="E671" s="7"/>
      <c r="F671" s="8"/>
    </row>
    <row r="672" spans="1:6" x14ac:dyDescent="0.25">
      <c r="A672" s="5"/>
      <c r="B672" s="6"/>
      <c r="C672" s="6"/>
      <c r="E672" s="7"/>
      <c r="F672" s="8"/>
    </row>
    <row r="673" spans="1:6" x14ac:dyDescent="0.25">
      <c r="A673" s="5"/>
      <c r="B673" s="6"/>
      <c r="C673" s="6"/>
      <c r="E673" s="7"/>
      <c r="F673" s="8"/>
    </row>
    <row r="674" spans="1:6" x14ac:dyDescent="0.25">
      <c r="A674" s="5"/>
      <c r="B674" s="6"/>
      <c r="C674" s="6"/>
      <c r="E674" s="7"/>
      <c r="F674" s="8"/>
    </row>
    <row r="675" spans="1:6" x14ac:dyDescent="0.25">
      <c r="A675" s="5"/>
      <c r="B675" s="6"/>
      <c r="C675" s="6"/>
      <c r="E675" s="7"/>
      <c r="F675" s="8"/>
    </row>
    <row r="676" spans="1:6" x14ac:dyDescent="0.25">
      <c r="A676" s="5"/>
      <c r="B676" s="6"/>
      <c r="C676" s="6"/>
      <c r="E676" s="7"/>
      <c r="F676" s="8"/>
    </row>
    <row r="677" spans="1:6" x14ac:dyDescent="0.25">
      <c r="A677" s="5"/>
      <c r="B677" s="6"/>
      <c r="C677" s="6"/>
      <c r="E677" s="7"/>
      <c r="F677" s="8"/>
    </row>
    <row r="678" spans="1:6" x14ac:dyDescent="0.25">
      <c r="A678" s="5"/>
      <c r="B678" s="6"/>
      <c r="C678" s="6"/>
      <c r="E678" s="7"/>
      <c r="F678" s="8"/>
    </row>
    <row r="679" spans="1:6" x14ac:dyDescent="0.25">
      <c r="A679" s="5"/>
      <c r="B679" s="6"/>
      <c r="C679" s="6"/>
      <c r="E679" s="7"/>
      <c r="F679" s="8"/>
    </row>
    <row r="680" spans="1:6" x14ac:dyDescent="0.25">
      <c r="A680" s="5"/>
      <c r="B680" s="6"/>
      <c r="C680" s="6"/>
      <c r="E680" s="7"/>
      <c r="F680" s="8"/>
    </row>
    <row r="681" spans="1:6" x14ac:dyDescent="0.25">
      <c r="A681" s="5"/>
      <c r="B681" s="6"/>
      <c r="C681" s="6"/>
      <c r="E681" s="7"/>
      <c r="F681" s="8"/>
    </row>
    <row r="682" spans="1:6" x14ac:dyDescent="0.25">
      <c r="A682" s="5"/>
      <c r="B682" s="6"/>
      <c r="C682" s="6"/>
      <c r="E682" s="7"/>
      <c r="F682" s="8"/>
    </row>
    <row r="683" spans="1:6" x14ac:dyDescent="0.25">
      <c r="A683" s="5"/>
      <c r="B683" s="6"/>
      <c r="C683" s="6"/>
      <c r="E683" s="7"/>
      <c r="F683" s="8"/>
    </row>
    <row r="684" spans="1:6" x14ac:dyDescent="0.25">
      <c r="A684" s="5"/>
      <c r="B684" s="6"/>
      <c r="C684" s="6"/>
      <c r="E684" s="7"/>
      <c r="F684" s="8"/>
    </row>
    <row r="685" spans="1:6" x14ac:dyDescent="0.25">
      <c r="A685" s="5"/>
      <c r="B685" s="6"/>
      <c r="C685" s="6"/>
      <c r="E685" s="7"/>
      <c r="F685" s="8"/>
    </row>
    <row r="686" spans="1:6" x14ac:dyDescent="0.25">
      <c r="A686" s="5"/>
      <c r="B686" s="6"/>
      <c r="C686" s="6"/>
      <c r="E686" s="7"/>
      <c r="F686" s="8"/>
    </row>
    <row r="687" spans="1:6" x14ac:dyDescent="0.25">
      <c r="A687" s="5"/>
      <c r="B687" s="6"/>
      <c r="C687" s="6"/>
      <c r="E687" s="7"/>
      <c r="F687" s="8"/>
    </row>
    <row r="688" spans="1:6" x14ac:dyDescent="0.25">
      <c r="A688" s="5"/>
      <c r="B688" s="6"/>
      <c r="C688" s="6"/>
      <c r="E688" s="7"/>
      <c r="F688" s="8"/>
    </row>
    <row r="689" spans="1:6" x14ac:dyDescent="0.25">
      <c r="A689" s="5"/>
      <c r="B689" s="6"/>
      <c r="C689" s="6"/>
      <c r="E689" s="7"/>
      <c r="F689" s="8"/>
    </row>
    <row r="690" spans="1:6" x14ac:dyDescent="0.25">
      <c r="A690" s="5"/>
      <c r="B690" s="6"/>
      <c r="C690" s="6"/>
      <c r="E690" s="7"/>
      <c r="F690" s="8"/>
    </row>
    <row r="691" spans="1:6" x14ac:dyDescent="0.25">
      <c r="A691" s="5"/>
      <c r="B691" s="6"/>
      <c r="C691" s="6"/>
      <c r="E691" s="7"/>
      <c r="F691" s="8"/>
    </row>
    <row r="692" spans="1:6" x14ac:dyDescent="0.25">
      <c r="A692" s="5"/>
      <c r="B692" s="6"/>
      <c r="C692" s="6"/>
      <c r="E692" s="7"/>
      <c r="F692" s="8"/>
    </row>
    <row r="693" spans="1:6" x14ac:dyDescent="0.25">
      <c r="A693" s="5"/>
      <c r="B693" s="6"/>
      <c r="C693" s="6"/>
      <c r="E693" s="7"/>
      <c r="F693" s="8"/>
    </row>
    <row r="694" spans="1:6" x14ac:dyDescent="0.25">
      <c r="A694" s="5"/>
      <c r="B694" s="6"/>
      <c r="C694" s="6"/>
      <c r="E694" s="7"/>
      <c r="F694" s="8"/>
    </row>
    <row r="695" spans="1:6" x14ac:dyDescent="0.25">
      <c r="A695" s="5"/>
      <c r="B695" s="6"/>
      <c r="C695" s="6"/>
      <c r="E695" s="7"/>
      <c r="F695" s="8"/>
    </row>
    <row r="696" spans="1:6" x14ac:dyDescent="0.25">
      <c r="A696" s="5"/>
      <c r="B696" s="6"/>
      <c r="C696" s="6"/>
      <c r="E696" s="7"/>
      <c r="F696" s="8"/>
    </row>
    <row r="697" spans="1:6" x14ac:dyDescent="0.25">
      <c r="A697" s="5"/>
      <c r="B697" s="6"/>
      <c r="C697" s="6"/>
      <c r="E697" s="7"/>
      <c r="F697" s="8"/>
    </row>
    <row r="698" spans="1:6" x14ac:dyDescent="0.25">
      <c r="A698" s="5"/>
      <c r="B698" s="6"/>
      <c r="C698" s="6"/>
      <c r="E698" s="7"/>
      <c r="F698" s="8"/>
    </row>
    <row r="699" spans="1:6" x14ac:dyDescent="0.25">
      <c r="A699" s="5"/>
      <c r="B699" s="6"/>
      <c r="C699" s="6"/>
      <c r="E699" s="7"/>
      <c r="F699" s="8"/>
    </row>
    <row r="700" spans="1:6" x14ac:dyDescent="0.25">
      <c r="A700" s="5"/>
      <c r="B700" s="6"/>
      <c r="C700" s="6"/>
      <c r="E700" s="7"/>
      <c r="F700" s="8"/>
    </row>
    <row r="701" spans="1:6" x14ac:dyDescent="0.25">
      <c r="A701" s="5"/>
      <c r="B701" s="6"/>
      <c r="C701" s="6"/>
      <c r="E701" s="7"/>
      <c r="F701" s="8"/>
    </row>
    <row r="702" spans="1:6" x14ac:dyDescent="0.25">
      <c r="A702" s="5"/>
      <c r="B702" s="6"/>
      <c r="C702" s="6"/>
      <c r="E702" s="7"/>
      <c r="F702" s="8"/>
    </row>
    <row r="703" spans="1:6" x14ac:dyDescent="0.25">
      <c r="A703" s="5"/>
      <c r="B703" s="6"/>
      <c r="C703" s="6"/>
      <c r="E703" s="7"/>
      <c r="F703" s="8"/>
    </row>
    <row r="704" spans="1:6" x14ac:dyDescent="0.25">
      <c r="A704" s="5"/>
      <c r="B704" s="6"/>
      <c r="C704" s="6"/>
      <c r="E704" s="7"/>
      <c r="F704" s="8"/>
    </row>
    <row r="705" spans="1:6" x14ac:dyDescent="0.25">
      <c r="A705" s="5"/>
      <c r="B705" s="6"/>
      <c r="C705" s="6"/>
      <c r="E705" s="7"/>
      <c r="F705" s="8"/>
    </row>
    <row r="706" spans="1:6" x14ac:dyDescent="0.25">
      <c r="A706" s="5"/>
      <c r="B706" s="6"/>
      <c r="C706" s="6"/>
      <c r="E706" s="7"/>
      <c r="F706" s="8"/>
    </row>
    <row r="707" spans="1:6" x14ac:dyDescent="0.25">
      <c r="A707" s="5"/>
      <c r="B707" s="6"/>
      <c r="C707" s="6"/>
      <c r="E707" s="7"/>
      <c r="F707" s="8"/>
    </row>
    <row r="708" spans="1:6" x14ac:dyDescent="0.25">
      <c r="A708" s="5"/>
      <c r="B708" s="6"/>
      <c r="C708" s="6"/>
      <c r="E708" s="7"/>
      <c r="F708" s="8"/>
    </row>
    <row r="709" spans="1:6" x14ac:dyDescent="0.25">
      <c r="A709" s="5"/>
      <c r="B709" s="6"/>
      <c r="C709" s="6"/>
      <c r="E709" s="7"/>
      <c r="F709" s="8"/>
    </row>
    <row r="710" spans="1:6" x14ac:dyDescent="0.25">
      <c r="A710" s="5"/>
      <c r="B710" s="6"/>
      <c r="C710" s="6"/>
      <c r="E710" s="7"/>
      <c r="F710" s="8"/>
    </row>
    <row r="711" spans="1:6" x14ac:dyDescent="0.25">
      <c r="A711" s="5"/>
      <c r="B711" s="6"/>
      <c r="C711" s="6"/>
      <c r="E711" s="7"/>
      <c r="F711" s="8"/>
    </row>
    <row r="712" spans="1:6" x14ac:dyDescent="0.25">
      <c r="A712" s="5"/>
      <c r="B712" s="6"/>
      <c r="C712" s="6"/>
      <c r="E712" s="7"/>
      <c r="F712" s="8"/>
    </row>
    <row r="713" spans="1:6" x14ac:dyDescent="0.25">
      <c r="A713" s="5"/>
      <c r="B713" s="6"/>
      <c r="C713" s="6"/>
      <c r="E713" s="7"/>
      <c r="F713" s="8"/>
    </row>
    <row r="714" spans="1:6" x14ac:dyDescent="0.25">
      <c r="A714" s="5"/>
      <c r="B714" s="6"/>
      <c r="C714" s="6"/>
      <c r="E714" s="7"/>
      <c r="F714" s="8"/>
    </row>
    <row r="715" spans="1:6" x14ac:dyDescent="0.25">
      <c r="A715" s="5"/>
      <c r="B715" s="6"/>
      <c r="C715" s="6"/>
      <c r="E715" s="7"/>
      <c r="F715" s="8"/>
    </row>
    <row r="716" spans="1:6" x14ac:dyDescent="0.25">
      <c r="A716" s="5"/>
      <c r="B716" s="6"/>
      <c r="C716" s="6"/>
      <c r="E716" s="7"/>
      <c r="F716" s="8"/>
    </row>
    <row r="717" spans="1:6" x14ac:dyDescent="0.25">
      <c r="A717" s="5"/>
      <c r="B717" s="6"/>
      <c r="C717" s="6"/>
      <c r="E717" s="7"/>
      <c r="F717" s="8"/>
    </row>
    <row r="718" spans="1:6" x14ac:dyDescent="0.25">
      <c r="A718" s="5"/>
      <c r="B718" s="6"/>
      <c r="C718" s="6"/>
      <c r="E718" s="7"/>
      <c r="F718" s="8"/>
    </row>
    <row r="719" spans="1:6" x14ac:dyDescent="0.25">
      <c r="A719" s="5"/>
      <c r="B719" s="6"/>
      <c r="C719" s="6"/>
      <c r="E719" s="7"/>
      <c r="F719" s="8"/>
    </row>
    <row r="720" spans="1:6" x14ac:dyDescent="0.25">
      <c r="A720" s="5"/>
      <c r="B720" s="6"/>
      <c r="C720" s="6"/>
      <c r="E720" s="7"/>
      <c r="F720" s="8"/>
    </row>
    <row r="721" spans="1:6" x14ac:dyDescent="0.25">
      <c r="A721" s="5"/>
      <c r="B721" s="6"/>
      <c r="C721" s="6"/>
      <c r="E721" s="7"/>
      <c r="F721" s="8"/>
    </row>
    <row r="722" spans="1:6" x14ac:dyDescent="0.25">
      <c r="A722" s="5"/>
      <c r="B722" s="6"/>
      <c r="C722" s="6"/>
      <c r="E722" s="7"/>
      <c r="F722" s="8"/>
    </row>
    <row r="723" spans="1:6" x14ac:dyDescent="0.25">
      <c r="A723" s="5"/>
      <c r="B723" s="6"/>
      <c r="C723" s="6"/>
      <c r="E723" s="7"/>
      <c r="F723" s="8"/>
    </row>
    <row r="724" spans="1:6" x14ac:dyDescent="0.25">
      <c r="A724" s="5"/>
      <c r="B724" s="6"/>
      <c r="C724" s="6"/>
      <c r="E724" s="7"/>
      <c r="F724" s="8"/>
    </row>
    <row r="725" spans="1:6" x14ac:dyDescent="0.25">
      <c r="A725" s="5"/>
      <c r="B725" s="6"/>
      <c r="C725" s="6"/>
      <c r="E725" s="7"/>
      <c r="F725" s="8"/>
    </row>
    <row r="726" spans="1:6" x14ac:dyDescent="0.25">
      <c r="A726" s="5"/>
      <c r="B726" s="6"/>
      <c r="C726" s="6"/>
      <c r="E726" s="7"/>
      <c r="F726" s="8"/>
    </row>
    <row r="727" spans="1:6" x14ac:dyDescent="0.25">
      <c r="A727" s="5"/>
      <c r="B727" s="6"/>
      <c r="C727" s="6"/>
      <c r="E727" s="7"/>
      <c r="F727" s="8"/>
    </row>
    <row r="728" spans="1:6" x14ac:dyDescent="0.25">
      <c r="A728" s="5"/>
      <c r="B728" s="6"/>
      <c r="C728" s="6"/>
      <c r="E728" s="7"/>
      <c r="F728" s="8"/>
    </row>
    <row r="729" spans="1:6" x14ac:dyDescent="0.25">
      <c r="A729" s="5"/>
      <c r="B729" s="6"/>
      <c r="C729" s="6"/>
      <c r="E729" s="7"/>
      <c r="F729" s="8"/>
    </row>
    <row r="730" spans="1:6" x14ac:dyDescent="0.25">
      <c r="A730" s="5"/>
      <c r="B730" s="6"/>
      <c r="C730" s="6"/>
      <c r="E730" s="7"/>
      <c r="F730" s="8"/>
    </row>
    <row r="731" spans="1:6" x14ac:dyDescent="0.25">
      <c r="A731" s="5"/>
      <c r="B731" s="6"/>
      <c r="C731" s="6"/>
      <c r="E731" s="7"/>
      <c r="F731" s="8"/>
    </row>
    <row r="732" spans="1:6" x14ac:dyDescent="0.25">
      <c r="A732" s="5"/>
      <c r="B732" s="6"/>
      <c r="C732" s="6"/>
      <c r="E732" s="7"/>
      <c r="F732" s="8"/>
    </row>
    <row r="733" spans="1:6" x14ac:dyDescent="0.25">
      <c r="A733" s="5"/>
      <c r="B733" s="6"/>
      <c r="C733" s="6"/>
      <c r="E733" s="7"/>
      <c r="F733" s="8"/>
    </row>
    <row r="734" spans="1:6" x14ac:dyDescent="0.25">
      <c r="A734" s="5"/>
      <c r="B734" s="6"/>
      <c r="C734" s="6"/>
      <c r="E734" s="7"/>
      <c r="F734" s="8"/>
    </row>
    <row r="735" spans="1:6" x14ac:dyDescent="0.25">
      <c r="A735" s="5"/>
      <c r="B735" s="6"/>
      <c r="C735" s="6"/>
      <c r="E735" s="7"/>
      <c r="F735" s="8"/>
    </row>
    <row r="736" spans="1:6" x14ac:dyDescent="0.25">
      <c r="A736" s="5"/>
      <c r="B736" s="6"/>
      <c r="C736" s="6"/>
      <c r="E736" s="7"/>
      <c r="F736" s="8"/>
    </row>
    <row r="737" spans="1:6" x14ac:dyDescent="0.25">
      <c r="A737" s="5"/>
      <c r="B737" s="6"/>
      <c r="C737" s="6"/>
      <c r="E737" s="7"/>
      <c r="F737" s="8"/>
    </row>
    <row r="738" spans="1:6" x14ac:dyDescent="0.25">
      <c r="A738" s="5"/>
      <c r="B738" s="6"/>
      <c r="C738" s="6"/>
      <c r="E738" s="7"/>
      <c r="F738" s="8"/>
    </row>
    <row r="739" spans="1:6" x14ac:dyDescent="0.25">
      <c r="A739" s="5"/>
      <c r="B739" s="6"/>
      <c r="C739" s="6"/>
      <c r="E739" s="7"/>
      <c r="F739" s="8"/>
    </row>
    <row r="740" spans="1:6" x14ac:dyDescent="0.25">
      <c r="A740" s="5"/>
      <c r="B740" s="6"/>
      <c r="C740" s="6"/>
      <c r="E740" s="7"/>
      <c r="F740" s="8"/>
    </row>
    <row r="741" spans="1:6" x14ac:dyDescent="0.25">
      <c r="A741" s="5"/>
      <c r="B741" s="6"/>
      <c r="C741" s="6"/>
      <c r="E741" s="7"/>
      <c r="F741" s="8"/>
    </row>
    <row r="742" spans="1:6" x14ac:dyDescent="0.25">
      <c r="A742" s="5"/>
      <c r="B742" s="6"/>
      <c r="C742" s="6"/>
      <c r="E742" s="7"/>
      <c r="F742" s="8"/>
    </row>
    <row r="743" spans="1:6" x14ac:dyDescent="0.25">
      <c r="A743" s="5"/>
      <c r="B743" s="6"/>
      <c r="C743" s="6"/>
      <c r="E743" s="7"/>
      <c r="F743" s="8"/>
    </row>
    <row r="744" spans="1:6" x14ac:dyDescent="0.25">
      <c r="A744" s="5"/>
      <c r="B744" s="6"/>
      <c r="C744" s="6"/>
      <c r="E744" s="7"/>
      <c r="F744" s="8"/>
    </row>
    <row r="745" spans="1:6" x14ac:dyDescent="0.25">
      <c r="A745" s="5"/>
      <c r="B745" s="6"/>
      <c r="C745" s="6"/>
      <c r="E745" s="7"/>
      <c r="F745" s="8"/>
    </row>
    <row r="746" spans="1:6" x14ac:dyDescent="0.25">
      <c r="A746" s="5"/>
      <c r="B746" s="6"/>
      <c r="C746" s="6"/>
      <c r="E746" s="7"/>
      <c r="F746" s="8"/>
    </row>
    <row r="747" spans="1:6" x14ac:dyDescent="0.25">
      <c r="A747" s="5"/>
      <c r="B747" s="6"/>
      <c r="C747" s="6"/>
      <c r="E747" s="7"/>
      <c r="F747" s="8"/>
    </row>
    <row r="748" spans="1:6" x14ac:dyDescent="0.25">
      <c r="A748" s="5"/>
      <c r="B748" s="6"/>
      <c r="C748" s="6"/>
      <c r="E748" s="7"/>
      <c r="F748" s="8"/>
    </row>
    <row r="749" spans="1:6" x14ac:dyDescent="0.25">
      <c r="A749" s="5"/>
      <c r="B749" s="6"/>
      <c r="C749" s="6"/>
      <c r="E749" s="7"/>
      <c r="F749" s="8"/>
    </row>
    <row r="750" spans="1:6" x14ac:dyDescent="0.25">
      <c r="A750" s="5"/>
      <c r="B750" s="6"/>
      <c r="C750" s="6"/>
      <c r="E750" s="7"/>
      <c r="F750" s="8"/>
    </row>
    <row r="751" spans="1:6" x14ac:dyDescent="0.25">
      <c r="A751" s="5"/>
      <c r="B751" s="6"/>
      <c r="C751" s="6"/>
      <c r="E751" s="7"/>
      <c r="F751" s="8"/>
    </row>
    <row r="752" spans="1:6" x14ac:dyDescent="0.25">
      <c r="A752" s="5"/>
      <c r="B752" s="6"/>
      <c r="C752" s="6"/>
      <c r="E752" s="7"/>
      <c r="F752" s="8"/>
    </row>
    <row r="753" spans="1:6" x14ac:dyDescent="0.25">
      <c r="A753" s="5"/>
      <c r="B753" s="6"/>
      <c r="C753" s="6"/>
      <c r="E753" s="7"/>
      <c r="F753" s="8"/>
    </row>
    <row r="754" spans="1:6" x14ac:dyDescent="0.25">
      <c r="A754" s="5"/>
      <c r="B754" s="6"/>
      <c r="C754" s="6"/>
      <c r="E754" s="7"/>
      <c r="F754" s="8"/>
    </row>
    <row r="755" spans="1:6" x14ac:dyDescent="0.25">
      <c r="A755" s="5"/>
      <c r="B755" s="6"/>
      <c r="C755" s="6"/>
      <c r="E755" s="7"/>
      <c r="F755" s="8"/>
    </row>
    <row r="756" spans="1:6" x14ac:dyDescent="0.25">
      <c r="A756" s="5"/>
      <c r="B756" s="6"/>
      <c r="C756" s="6"/>
      <c r="E756" s="7"/>
      <c r="F756" s="8"/>
    </row>
    <row r="757" spans="1:6" x14ac:dyDescent="0.25">
      <c r="A757" s="5"/>
      <c r="B757" s="6"/>
      <c r="C757" s="6"/>
      <c r="E757" s="7"/>
      <c r="F757" s="8"/>
    </row>
    <row r="758" spans="1:6" x14ac:dyDescent="0.25">
      <c r="A758" s="5"/>
      <c r="B758" s="6"/>
      <c r="C758" s="6"/>
      <c r="E758" s="7"/>
      <c r="F758" s="8"/>
    </row>
    <row r="759" spans="1:6" x14ac:dyDescent="0.25">
      <c r="A759" s="5"/>
      <c r="B759" s="6"/>
      <c r="C759" s="6"/>
      <c r="E759" s="7"/>
      <c r="F759" s="8"/>
    </row>
    <row r="760" spans="1:6" x14ac:dyDescent="0.25">
      <c r="A760" s="5"/>
      <c r="B760" s="6"/>
      <c r="C760" s="6"/>
      <c r="E760" s="7"/>
      <c r="F760" s="8"/>
    </row>
    <row r="761" spans="1:6" x14ac:dyDescent="0.25">
      <c r="A761" s="5"/>
      <c r="B761" s="6"/>
      <c r="C761" s="6"/>
      <c r="E761" s="7"/>
      <c r="F761" s="8"/>
    </row>
    <row r="762" spans="1:6" x14ac:dyDescent="0.25">
      <c r="A762" s="5"/>
      <c r="B762" s="6"/>
      <c r="C762" s="6"/>
      <c r="E762" s="7"/>
      <c r="F762" s="8"/>
    </row>
    <row r="763" spans="1:6" x14ac:dyDescent="0.25">
      <c r="A763" s="5"/>
      <c r="B763" s="6"/>
      <c r="C763" s="6"/>
      <c r="E763" s="7"/>
      <c r="F763" s="8"/>
    </row>
    <row r="764" spans="1:6" x14ac:dyDescent="0.25">
      <c r="A764" s="5"/>
      <c r="B764" s="6"/>
      <c r="C764" s="6"/>
      <c r="E764" s="7"/>
      <c r="F764" s="8"/>
    </row>
    <row r="765" spans="1:6" x14ac:dyDescent="0.25">
      <c r="A765" s="5"/>
      <c r="B765" s="6"/>
      <c r="C765" s="6"/>
      <c r="E765" s="7"/>
      <c r="F765" s="8"/>
    </row>
    <row r="766" spans="1:6" x14ac:dyDescent="0.25">
      <c r="A766" s="5"/>
      <c r="B766" s="6"/>
      <c r="C766" s="6"/>
      <c r="E766" s="7"/>
      <c r="F766" s="8"/>
    </row>
    <row r="767" spans="1:6" x14ac:dyDescent="0.25">
      <c r="A767" s="5"/>
      <c r="B767" s="6"/>
      <c r="C767" s="6"/>
      <c r="E767" s="7"/>
      <c r="F767" s="8"/>
    </row>
    <row r="768" spans="1:6" x14ac:dyDescent="0.25">
      <c r="A768" s="5"/>
      <c r="B768" s="6"/>
      <c r="C768" s="6"/>
      <c r="E768" s="7"/>
      <c r="F768" s="8"/>
    </row>
    <row r="769" spans="1:6" x14ac:dyDescent="0.25">
      <c r="A769" s="5"/>
      <c r="B769" s="6"/>
      <c r="C769" s="6"/>
      <c r="E769" s="7"/>
      <c r="F769" s="8"/>
    </row>
    <row r="770" spans="1:6" x14ac:dyDescent="0.25">
      <c r="A770" s="5"/>
      <c r="B770" s="6"/>
      <c r="C770" s="6"/>
      <c r="E770" s="7"/>
      <c r="F770" s="8"/>
    </row>
    <row r="771" spans="1:6" x14ac:dyDescent="0.25">
      <c r="A771" s="5"/>
      <c r="B771" s="6"/>
      <c r="C771" s="6"/>
      <c r="E771" s="7"/>
      <c r="F771" s="8"/>
    </row>
    <row r="772" spans="1:6" x14ac:dyDescent="0.25">
      <c r="A772" s="5"/>
      <c r="B772" s="6"/>
      <c r="C772" s="6"/>
      <c r="E772" s="7"/>
      <c r="F772" s="8"/>
    </row>
    <row r="773" spans="1:6" x14ac:dyDescent="0.25">
      <c r="A773" s="5"/>
      <c r="B773" s="6"/>
      <c r="C773" s="6"/>
      <c r="E773" s="7"/>
      <c r="F773" s="8"/>
    </row>
    <row r="774" spans="1:6" x14ac:dyDescent="0.25">
      <c r="A774" s="5"/>
      <c r="B774" s="6"/>
      <c r="C774" s="6"/>
      <c r="E774" s="7"/>
      <c r="F774" s="8"/>
    </row>
    <row r="775" spans="1:6" x14ac:dyDescent="0.25">
      <c r="A775" s="5"/>
      <c r="B775" s="6"/>
      <c r="C775" s="6"/>
      <c r="E775" s="7"/>
      <c r="F775" s="8"/>
    </row>
    <row r="776" spans="1:6" x14ac:dyDescent="0.25">
      <c r="A776" s="5"/>
      <c r="B776" s="6"/>
      <c r="C776" s="6"/>
      <c r="E776" s="7"/>
      <c r="F776" s="8"/>
    </row>
    <row r="777" spans="1:6" x14ac:dyDescent="0.25">
      <c r="A777" s="5"/>
      <c r="B777" s="6"/>
      <c r="C777" s="6"/>
      <c r="E777" s="7"/>
      <c r="F777" s="8"/>
    </row>
    <row r="778" spans="1:6" x14ac:dyDescent="0.25">
      <c r="A778" s="5"/>
      <c r="B778" s="6"/>
      <c r="C778" s="6"/>
      <c r="E778" s="7"/>
      <c r="F778" s="8"/>
    </row>
    <row r="779" spans="1:6" x14ac:dyDescent="0.25">
      <c r="A779" s="5"/>
      <c r="B779" s="6"/>
      <c r="C779" s="6"/>
      <c r="E779" s="7"/>
      <c r="F779" s="8"/>
    </row>
    <row r="780" spans="1:6" x14ac:dyDescent="0.25">
      <c r="A780" s="5"/>
      <c r="B780" s="6"/>
      <c r="C780" s="6"/>
      <c r="E780" s="7"/>
      <c r="F780" s="8"/>
    </row>
    <row r="781" spans="1:6" x14ac:dyDescent="0.25">
      <c r="A781" s="5"/>
      <c r="B781" s="6"/>
      <c r="C781" s="6"/>
      <c r="E781" s="7"/>
      <c r="F781" s="8"/>
    </row>
    <row r="782" spans="1:6" x14ac:dyDescent="0.25">
      <c r="A782" s="5"/>
      <c r="B782" s="6"/>
      <c r="C782" s="6"/>
      <c r="E782" s="7"/>
      <c r="F782" s="8"/>
    </row>
    <row r="783" spans="1:6" x14ac:dyDescent="0.25">
      <c r="A783" s="5"/>
      <c r="B783" s="6"/>
      <c r="C783" s="6"/>
      <c r="E783" s="7"/>
      <c r="F783" s="8"/>
    </row>
    <row r="784" spans="1:6" x14ac:dyDescent="0.25">
      <c r="A784" s="5"/>
      <c r="B784" s="6"/>
      <c r="C784" s="6"/>
      <c r="E784" s="7"/>
      <c r="F784" s="8"/>
    </row>
    <row r="785" spans="1:6" x14ac:dyDescent="0.25">
      <c r="A785" s="5"/>
      <c r="B785" s="6"/>
      <c r="C785" s="6"/>
      <c r="E785" s="7"/>
      <c r="F785" s="8"/>
    </row>
    <row r="786" spans="1:6" x14ac:dyDescent="0.25">
      <c r="A786" s="5"/>
      <c r="B786" s="6"/>
      <c r="C786" s="6"/>
      <c r="E786" s="7"/>
      <c r="F786" s="8"/>
    </row>
    <row r="787" spans="1:6" x14ac:dyDescent="0.25">
      <c r="A787" s="5"/>
      <c r="B787" s="6"/>
      <c r="C787" s="6"/>
      <c r="E787" s="7"/>
      <c r="F787" s="8"/>
    </row>
    <row r="788" spans="1:6" x14ac:dyDescent="0.25">
      <c r="A788" s="5"/>
      <c r="B788" s="6"/>
      <c r="C788" s="6"/>
      <c r="E788" s="7"/>
      <c r="F788" s="8"/>
    </row>
    <row r="789" spans="1:6" x14ac:dyDescent="0.25">
      <c r="A789" s="5"/>
      <c r="B789" s="6"/>
      <c r="C789" s="6"/>
      <c r="E789" s="7"/>
      <c r="F789" s="8"/>
    </row>
    <row r="790" spans="1:6" x14ac:dyDescent="0.25">
      <c r="A790" s="5"/>
      <c r="B790" s="6"/>
      <c r="C790" s="6"/>
      <c r="E790" s="7"/>
      <c r="F790" s="8"/>
    </row>
    <row r="791" spans="1:6" x14ac:dyDescent="0.25">
      <c r="A791" s="5"/>
      <c r="B791" s="6"/>
      <c r="C791" s="6"/>
      <c r="E791" s="7"/>
      <c r="F791" s="8"/>
    </row>
    <row r="792" spans="1:6" x14ac:dyDescent="0.25">
      <c r="A792" s="5"/>
      <c r="B792" s="6"/>
      <c r="C792" s="6"/>
      <c r="E792" s="7"/>
      <c r="F792" s="8"/>
    </row>
    <row r="793" spans="1:6" x14ac:dyDescent="0.25">
      <c r="A793" s="5"/>
      <c r="B793" s="6"/>
      <c r="C793" s="6"/>
      <c r="E793" s="7"/>
      <c r="F793" s="8"/>
    </row>
    <row r="794" spans="1:6" x14ac:dyDescent="0.25">
      <c r="A794" s="5"/>
      <c r="B794" s="6"/>
      <c r="C794" s="6"/>
      <c r="E794" s="7"/>
      <c r="F794" s="8"/>
    </row>
    <row r="795" spans="1:6" x14ac:dyDescent="0.25">
      <c r="A795" s="5"/>
      <c r="B795" s="6"/>
      <c r="C795" s="6"/>
      <c r="E795" s="7"/>
      <c r="F795" s="8"/>
    </row>
    <row r="796" spans="1:6" x14ac:dyDescent="0.25">
      <c r="A796" s="5"/>
      <c r="B796" s="6"/>
      <c r="C796" s="6"/>
      <c r="E796" s="7"/>
      <c r="F796" s="8"/>
    </row>
    <row r="797" spans="1:6" x14ac:dyDescent="0.25">
      <c r="A797" s="5"/>
      <c r="B797" s="6"/>
      <c r="C797" s="6"/>
      <c r="E797" s="7"/>
      <c r="F797" s="8"/>
    </row>
    <row r="798" spans="1:6" x14ac:dyDescent="0.25">
      <c r="A798" s="5"/>
      <c r="B798" s="6"/>
      <c r="C798" s="6"/>
      <c r="E798" s="7"/>
      <c r="F798" s="8"/>
    </row>
    <row r="799" spans="1:6" x14ac:dyDescent="0.25">
      <c r="A799" s="5"/>
      <c r="B799" s="6"/>
      <c r="C799" s="6"/>
      <c r="E799" s="7"/>
      <c r="F799" s="8"/>
    </row>
    <row r="800" spans="1:6" x14ac:dyDescent="0.25">
      <c r="A800" s="5"/>
      <c r="B800" s="6"/>
      <c r="C800" s="6"/>
      <c r="E800" s="7"/>
      <c r="F800" s="8"/>
    </row>
    <row r="801" spans="1:6" x14ac:dyDescent="0.25">
      <c r="A801" s="5"/>
      <c r="B801" s="6"/>
      <c r="C801" s="6"/>
      <c r="E801" s="7"/>
      <c r="F801" s="8"/>
    </row>
    <row r="802" spans="1:6" x14ac:dyDescent="0.25">
      <c r="A802" s="5"/>
      <c r="B802" s="6"/>
      <c r="C802" s="6"/>
      <c r="E802" s="7"/>
      <c r="F802" s="8"/>
    </row>
    <row r="803" spans="1:6" x14ac:dyDescent="0.25">
      <c r="A803" s="5"/>
      <c r="B803" s="6"/>
      <c r="C803" s="6"/>
      <c r="E803" s="7"/>
      <c r="F803" s="8"/>
    </row>
    <row r="804" spans="1:6" x14ac:dyDescent="0.25">
      <c r="A804" s="5"/>
      <c r="B804" s="6"/>
      <c r="C804" s="6"/>
      <c r="E804" s="7"/>
      <c r="F804" s="8"/>
    </row>
    <row r="805" spans="1:6" x14ac:dyDescent="0.25">
      <c r="A805" s="5"/>
      <c r="B805" s="6"/>
      <c r="C805" s="6"/>
      <c r="E805" s="7"/>
      <c r="F805" s="8"/>
    </row>
    <row r="806" spans="1:6" x14ac:dyDescent="0.25">
      <c r="A806" s="5"/>
      <c r="B806" s="6"/>
      <c r="C806" s="6"/>
      <c r="E806" s="7"/>
      <c r="F806" s="8"/>
    </row>
    <row r="807" spans="1:6" x14ac:dyDescent="0.25">
      <c r="A807" s="5"/>
      <c r="B807" s="6"/>
      <c r="C807" s="6"/>
      <c r="E807" s="7"/>
      <c r="F807" s="8"/>
    </row>
    <row r="808" spans="1:6" x14ac:dyDescent="0.25">
      <c r="A808" s="5"/>
      <c r="B808" s="6"/>
      <c r="C808" s="6"/>
      <c r="E808" s="7"/>
      <c r="F808" s="8"/>
    </row>
    <row r="809" spans="1:6" x14ac:dyDescent="0.25">
      <c r="A809" s="5"/>
      <c r="B809" s="6"/>
      <c r="C809" s="6"/>
      <c r="E809" s="7"/>
      <c r="F809" s="8"/>
    </row>
    <row r="810" spans="1:6" x14ac:dyDescent="0.25">
      <c r="A810" s="5"/>
      <c r="B810" s="6"/>
      <c r="C810" s="6"/>
      <c r="E810" s="7"/>
      <c r="F810" s="8"/>
    </row>
    <row r="811" spans="1:6" x14ac:dyDescent="0.25">
      <c r="A811" s="5"/>
      <c r="B811" s="6"/>
      <c r="C811" s="6"/>
      <c r="E811" s="7"/>
      <c r="F811" s="8"/>
    </row>
    <row r="812" spans="1:6" x14ac:dyDescent="0.25">
      <c r="A812" s="5"/>
      <c r="B812" s="6"/>
      <c r="C812" s="6"/>
      <c r="E812" s="7"/>
      <c r="F812" s="8"/>
    </row>
    <row r="813" spans="1:6" x14ac:dyDescent="0.25">
      <c r="A813" s="5"/>
      <c r="B813" s="6"/>
      <c r="C813" s="6"/>
      <c r="E813" s="7"/>
      <c r="F813" s="8"/>
    </row>
    <row r="814" spans="1:6" x14ac:dyDescent="0.25">
      <c r="A814" s="5"/>
      <c r="B814" s="6"/>
      <c r="C814" s="6"/>
      <c r="E814" s="7"/>
      <c r="F814" s="8"/>
    </row>
    <row r="815" spans="1:6" x14ac:dyDescent="0.25">
      <c r="A815" s="5"/>
      <c r="B815" s="6"/>
      <c r="C815" s="6"/>
      <c r="E815" s="7"/>
      <c r="F815" s="8"/>
    </row>
    <row r="816" spans="1:6" x14ac:dyDescent="0.25">
      <c r="A816" s="5"/>
      <c r="B816" s="6"/>
      <c r="C816" s="6"/>
      <c r="E816" s="7"/>
      <c r="F816" s="8"/>
    </row>
    <row r="817" spans="1:6" x14ac:dyDescent="0.25">
      <c r="A817" s="5"/>
      <c r="B817" s="6"/>
      <c r="C817" s="6"/>
      <c r="E817" s="7"/>
      <c r="F817" s="8"/>
    </row>
    <row r="818" spans="1:6" x14ac:dyDescent="0.25">
      <c r="A818" s="5"/>
      <c r="B818" s="6"/>
      <c r="C818" s="6"/>
      <c r="E818" s="7"/>
      <c r="F818" s="8"/>
    </row>
    <row r="819" spans="1:6" x14ac:dyDescent="0.25">
      <c r="A819" s="5"/>
      <c r="B819" s="6"/>
      <c r="C819" s="6"/>
      <c r="E819" s="7"/>
      <c r="F819" s="8"/>
    </row>
    <row r="820" spans="1:6" x14ac:dyDescent="0.25">
      <c r="A820" s="5"/>
      <c r="B820" s="6"/>
      <c r="C820" s="6"/>
      <c r="E820" s="7"/>
      <c r="F820" s="8"/>
    </row>
    <row r="821" spans="1:6" x14ac:dyDescent="0.25">
      <c r="A821" s="5"/>
      <c r="B821" s="6"/>
      <c r="C821" s="6"/>
      <c r="E821" s="7"/>
      <c r="F821" s="8"/>
    </row>
    <row r="822" spans="1:6" x14ac:dyDescent="0.25">
      <c r="A822" s="5"/>
      <c r="B822" s="6"/>
      <c r="C822" s="6"/>
      <c r="E822" s="7"/>
      <c r="F822" s="8"/>
    </row>
    <row r="823" spans="1:6" x14ac:dyDescent="0.25">
      <c r="A823" s="5"/>
      <c r="B823" s="6"/>
      <c r="C823" s="6"/>
      <c r="E823" s="7"/>
      <c r="F823" s="8"/>
    </row>
    <row r="824" spans="1:6" x14ac:dyDescent="0.25">
      <c r="A824" s="5"/>
      <c r="B824" s="6"/>
      <c r="C824" s="6"/>
      <c r="E824" s="7"/>
      <c r="F824" s="8"/>
    </row>
    <row r="825" spans="1:6" x14ac:dyDescent="0.25">
      <c r="A825" s="5"/>
      <c r="B825" s="6"/>
      <c r="C825" s="6"/>
      <c r="E825" s="7"/>
      <c r="F825" s="8"/>
    </row>
    <row r="826" spans="1:6" x14ac:dyDescent="0.25">
      <c r="A826" s="5"/>
      <c r="B826" s="6"/>
      <c r="C826" s="6"/>
      <c r="E826" s="7"/>
      <c r="F826" s="8"/>
    </row>
    <row r="827" spans="1:6" x14ac:dyDescent="0.25">
      <c r="A827" s="5"/>
      <c r="B827" s="6"/>
      <c r="C827" s="6"/>
      <c r="E827" s="7"/>
      <c r="F827" s="8"/>
    </row>
    <row r="828" spans="1:6" x14ac:dyDescent="0.25">
      <c r="A828" s="5"/>
      <c r="B828" s="6"/>
      <c r="C828" s="6"/>
      <c r="E828" s="7"/>
      <c r="F828" s="8"/>
    </row>
    <row r="829" spans="1:6" x14ac:dyDescent="0.25">
      <c r="A829" s="5"/>
      <c r="B829" s="6"/>
      <c r="C829" s="6"/>
      <c r="E829" s="7"/>
      <c r="F829" s="8"/>
    </row>
    <row r="830" spans="1:6" x14ac:dyDescent="0.25">
      <c r="A830" s="5"/>
      <c r="B830" s="6"/>
      <c r="C830" s="6"/>
      <c r="E830" s="7"/>
      <c r="F830" s="8"/>
    </row>
    <row r="831" spans="1:6" x14ac:dyDescent="0.25">
      <c r="A831" s="5"/>
      <c r="B831" s="6"/>
      <c r="C831" s="6"/>
      <c r="E831" s="7"/>
      <c r="F831" s="8"/>
    </row>
    <row r="832" spans="1:6" x14ac:dyDescent="0.25">
      <c r="A832" s="5"/>
      <c r="B832" s="6"/>
      <c r="C832" s="6"/>
      <c r="E832" s="7"/>
      <c r="F832" s="8"/>
    </row>
    <row r="833" spans="1:6" x14ac:dyDescent="0.25">
      <c r="A833" s="5"/>
      <c r="B833" s="6"/>
      <c r="C833" s="6"/>
      <c r="E833" s="7"/>
      <c r="F833" s="8"/>
    </row>
    <row r="834" spans="1:6" x14ac:dyDescent="0.25">
      <c r="A834" s="5"/>
      <c r="B834" s="6"/>
      <c r="C834" s="6"/>
      <c r="E834" s="7"/>
      <c r="F834" s="8"/>
    </row>
    <row r="835" spans="1:6" x14ac:dyDescent="0.25">
      <c r="A835" s="5"/>
      <c r="B835" s="6"/>
      <c r="C835" s="6"/>
      <c r="E835" s="7"/>
      <c r="F835" s="8"/>
    </row>
    <row r="836" spans="1:6" x14ac:dyDescent="0.25">
      <c r="A836" s="5"/>
      <c r="B836" s="6"/>
      <c r="C836" s="6"/>
      <c r="E836" s="7"/>
      <c r="F836" s="8"/>
    </row>
    <row r="837" spans="1:6" x14ac:dyDescent="0.25">
      <c r="A837" s="5"/>
      <c r="B837" s="6"/>
      <c r="C837" s="6"/>
      <c r="E837" s="7"/>
      <c r="F837" s="8"/>
    </row>
    <row r="838" spans="1:6" x14ac:dyDescent="0.25">
      <c r="A838" s="5"/>
      <c r="B838" s="6"/>
      <c r="C838" s="6"/>
      <c r="E838" s="7"/>
      <c r="F838" s="8"/>
    </row>
    <row r="839" spans="1:6" x14ac:dyDescent="0.25">
      <c r="A839" s="5"/>
      <c r="B839" s="6"/>
      <c r="C839" s="6"/>
      <c r="E839" s="7"/>
      <c r="F839" s="8"/>
    </row>
    <row r="840" spans="1:6" x14ac:dyDescent="0.25">
      <c r="A840" s="5"/>
      <c r="B840" s="6"/>
      <c r="C840" s="6"/>
      <c r="E840" s="7"/>
      <c r="F840" s="8"/>
    </row>
    <row r="841" spans="1:6" x14ac:dyDescent="0.25">
      <c r="A841" s="5"/>
      <c r="B841" s="6"/>
      <c r="C841" s="6"/>
      <c r="E841" s="7"/>
      <c r="F841" s="8"/>
    </row>
    <row r="842" spans="1:6" x14ac:dyDescent="0.25">
      <c r="A842" s="5"/>
      <c r="B842" s="6"/>
      <c r="C842" s="6"/>
      <c r="E842" s="7"/>
      <c r="F842" s="8"/>
    </row>
    <row r="843" spans="1:6" x14ac:dyDescent="0.25">
      <c r="A843" s="5"/>
      <c r="B843" s="6"/>
      <c r="C843" s="6"/>
      <c r="E843" s="7"/>
      <c r="F843" s="8"/>
    </row>
    <row r="844" spans="1:6" x14ac:dyDescent="0.25">
      <c r="A844" s="5"/>
      <c r="B844" s="6"/>
      <c r="C844" s="6"/>
      <c r="E844" s="7"/>
      <c r="F844" s="8"/>
    </row>
    <row r="845" spans="1:6" x14ac:dyDescent="0.25">
      <c r="A845" s="5"/>
      <c r="B845" s="6"/>
      <c r="C845" s="6"/>
      <c r="E845" s="7"/>
      <c r="F845" s="8"/>
    </row>
    <row r="846" spans="1:6" x14ac:dyDescent="0.25">
      <c r="A846" s="5"/>
      <c r="B846" s="6"/>
      <c r="C846" s="6"/>
      <c r="E846" s="7"/>
      <c r="F846" s="8"/>
    </row>
    <row r="847" spans="1:6" x14ac:dyDescent="0.25">
      <c r="A847" s="5"/>
      <c r="B847" s="6"/>
      <c r="C847" s="6"/>
      <c r="E847" s="7"/>
      <c r="F847" s="8"/>
    </row>
    <row r="848" spans="1:6" x14ac:dyDescent="0.25">
      <c r="A848" s="5"/>
      <c r="B848" s="6"/>
      <c r="C848" s="6"/>
      <c r="E848" s="7"/>
      <c r="F848" s="8"/>
    </row>
    <row r="849" spans="1:6" x14ac:dyDescent="0.25">
      <c r="A849" s="5"/>
      <c r="B849" s="6"/>
      <c r="C849" s="6"/>
      <c r="E849" s="7"/>
      <c r="F849" s="8"/>
    </row>
    <row r="850" spans="1:6" x14ac:dyDescent="0.25">
      <c r="A850" s="5"/>
      <c r="B850" s="6"/>
      <c r="C850" s="6"/>
      <c r="E850" s="7"/>
      <c r="F850" s="8"/>
    </row>
  </sheetData>
  <autoFilter ref="A1:F514" xr:uid="{1C7D43CE-02AC-461F-8177-A19F8F6E54B2}"/>
  <conditionalFormatting sqref="D2:D514">
    <cfRule type="cellIs" dxfId="1" priority="1" operator="lessThan">
      <formula>0</formula>
    </cfRule>
    <cfRule type="cellIs" dxfId="0" priority="2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F190-2520-4CB9-9CE0-ACF8803BEBCB}">
  <sheetPr filterMode="1"/>
  <dimension ref="A2:H81"/>
  <sheetViews>
    <sheetView workbookViewId="0">
      <selection activeCell="B23" sqref="B23"/>
    </sheetView>
  </sheetViews>
  <sheetFormatPr defaultRowHeight="15" x14ac:dyDescent="0.25"/>
  <cols>
    <col min="1" max="1" width="36.140625" bestFit="1" customWidth="1"/>
    <col min="2" max="2" width="66.5703125" customWidth="1"/>
  </cols>
  <sheetData>
    <row r="2" spans="1:8" x14ac:dyDescent="0.25">
      <c r="A2" s="20" t="s">
        <v>31</v>
      </c>
      <c r="B2" t="str">
        <f>IFERROR(INDEX(Planilha3!B:B,MATCH("*"&amp;SUBSTITUTE(A2,"BOLETO PAGO ","")&amp;"*",Planilha3!B:B,0)),"")</f>
        <v>BLACK E DECKER DO BRASIL LTDA</v>
      </c>
    </row>
    <row r="3" spans="1:8" x14ac:dyDescent="0.25">
      <c r="A3" s="20" t="s">
        <v>32</v>
      </c>
      <c r="B3" t="str">
        <f>IFERROR(INDEX(Planilha3!B:B,MATCH("*"&amp;SUBSTITUTE(A3,"BOLETO PAGO ","")&amp;"*",Planilha3!B:B,0)),"")</f>
        <v>ROBERT BOSCH LIMITADA</v>
      </c>
    </row>
    <row r="4" spans="1:8" hidden="1" x14ac:dyDescent="0.25">
      <c r="A4" s="20" t="s">
        <v>33</v>
      </c>
      <c r="B4" t="str">
        <f>IFERROR(INDEX(Planilha3!B:B,MATCH("*"&amp;SUBSTITUTE(A4,"BOLETO PAGO ","")&amp;"*",Planilha3!B:B,0)),"")</f>
        <v/>
      </c>
    </row>
    <row r="5" spans="1:8" hidden="1" x14ac:dyDescent="0.25">
      <c r="A5" s="20" t="s">
        <v>34</v>
      </c>
      <c r="B5" t="str">
        <f>IFERROR(INDEX(Planilha3!B:B,MATCH("*"&amp;SUBSTITUTE(A5,"BOLETO PAGO ","")&amp;"*",Planilha3!B:B,0)),"")</f>
        <v/>
      </c>
    </row>
    <row r="6" spans="1:8" hidden="1" x14ac:dyDescent="0.25">
      <c r="A6" s="15" t="s">
        <v>43</v>
      </c>
      <c r="B6" t="str">
        <f>IFERROR(INDEX(Planilha3!B:B,MATCH("*"&amp;SUBSTITUTE(A6,"BOLETO PAGO ","")&amp;"*",Planilha3!B:B,0)),"")</f>
        <v/>
      </c>
    </row>
    <row r="7" spans="1:8" hidden="1" x14ac:dyDescent="0.25">
      <c r="A7" s="15" t="s">
        <v>44</v>
      </c>
      <c r="B7" t="str">
        <f>IFERROR(INDEX(Planilha3!B:B,MATCH("*"&amp;SUBSTITUTE(A7,"BOLETO PAGO ","")&amp;"*",Planilha3!B:B,0)),"")</f>
        <v/>
      </c>
    </row>
    <row r="8" spans="1:8" hidden="1" x14ac:dyDescent="0.25">
      <c r="A8" s="20" t="s">
        <v>45</v>
      </c>
      <c r="B8" t="str">
        <f>IFERROR(INDEX(Planilha3!B:B,MATCH("*"&amp;SUBSTITUTE(A8,"BOLETO PAGO ","")&amp;"*",Planilha3!B:B,0)),"")</f>
        <v/>
      </c>
    </row>
    <row r="9" spans="1:8" hidden="1" x14ac:dyDescent="0.25">
      <c r="A9" s="15" t="s">
        <v>46</v>
      </c>
      <c r="B9" t="str">
        <f>IFERROR(INDEX(Planilha3!B:B,MATCH("*"&amp;SUBSTITUTE(A9,"BOLETO PAGO ","")&amp;"*",Planilha3!B:B,0)),"")</f>
        <v/>
      </c>
      <c r="H9" s="21"/>
    </row>
    <row r="10" spans="1:8" hidden="1" x14ac:dyDescent="0.25">
      <c r="A10" s="15" t="s">
        <v>47</v>
      </c>
      <c r="B10" t="str">
        <f>IFERROR(INDEX(Planilha3!B:B,MATCH("*"&amp;SUBSTITUTE(A10,"BOLETO PAGO ","")&amp;"*",Planilha3!B:B,0)),"")</f>
        <v/>
      </c>
      <c r="H10" s="21"/>
    </row>
    <row r="11" spans="1:8" x14ac:dyDescent="0.25">
      <c r="A11" s="15" t="s">
        <v>48</v>
      </c>
      <c r="B11" t="str">
        <f>IFERROR(INDEX(Planilha3!B:B,MATCH("*"&amp;SUBSTITUTE(A11,"BOLETO PAGO ","")&amp;"*",Planilha3!B:B,0)),"")</f>
        <v>GURGELMIX MAQUINAS E FERRAMENTAS S.A.</v>
      </c>
    </row>
    <row r="12" spans="1:8" hidden="1" x14ac:dyDescent="0.25">
      <c r="A12" s="15" t="s">
        <v>49</v>
      </c>
      <c r="B12" t="str">
        <f>IFERROR(INDEX(Planilha3!B:B,MATCH("*"&amp;SUBSTITUTE(A12,"BOLETO PAGO ","")&amp;"*",Planilha3!B:B,0)),"")</f>
        <v/>
      </c>
    </row>
    <row r="13" spans="1:8" x14ac:dyDescent="0.25">
      <c r="A13" s="15" t="s">
        <v>50</v>
      </c>
      <c r="B13" t="str">
        <f>IFERROR(INDEX(Planilha3!B:B,MATCH("*"&amp;SUBSTITUTE(A13,"BOLETO PAGO ","")&amp;"*",Planilha3!B:B,0)),"")</f>
        <v>TRAMONTINA PLANALTO S/A</v>
      </c>
    </row>
    <row r="14" spans="1:8" hidden="1" x14ac:dyDescent="0.25">
      <c r="A14" s="15" t="s">
        <v>59</v>
      </c>
      <c r="B14" t="str">
        <f>IFERROR(INDEX(Planilha3!B:B,MATCH("*"&amp;SUBSTITUTE(A14,"BOLETO PAGO ","")&amp;"*",Planilha3!B:B,0)),"")</f>
        <v/>
      </c>
    </row>
    <row r="15" spans="1:8" hidden="1" x14ac:dyDescent="0.25">
      <c r="A15" s="15" t="s">
        <v>60</v>
      </c>
      <c r="B15" t="str">
        <f>IFERROR(INDEX(Planilha3!B:B,MATCH("*"&amp;SUBSTITUTE(A15,"BOLETO PAGO ","")&amp;"*",Planilha3!B:B,0)),"")</f>
        <v/>
      </c>
    </row>
    <row r="16" spans="1:8" x14ac:dyDescent="0.25">
      <c r="A16" s="15" t="s">
        <v>61</v>
      </c>
      <c r="B16" t="str">
        <f>IFERROR(INDEX(Planilha3!B:B,MATCH("*"&amp;SUBSTITUTE(A16,"BOLETO PAGO ","")&amp;"*",Planilha3!B:B,0)),"")</f>
        <v>TECIDOS E ARMARINHOS MIGUEL BARTOLOMEU S/A</v>
      </c>
    </row>
    <row r="17" spans="1:2" x14ac:dyDescent="0.25">
      <c r="A17" s="15" t="s">
        <v>62</v>
      </c>
      <c r="B17" t="str">
        <f>IFERROR(INDEX(Planilha3!B:B,MATCH("*"&amp;SUBSTITUTE(A17,"BOLETO PAGO ","")&amp;"*",Planilha3!B:B,0)),"")</f>
        <v>CONDOR ATACADISTA DE MATERIAIS PARA CONSTRUCAO S/A</v>
      </c>
    </row>
    <row r="18" spans="1:2" x14ac:dyDescent="0.25">
      <c r="A18" s="15" t="s">
        <v>63</v>
      </c>
      <c r="B18" t="str">
        <f>IFERROR(INDEX(Planilha3!B:B,MATCH("*"&amp;SUBSTITUTE(A18,"BOLETO PAGO ","")&amp;"*",Planilha3!B:B,0)),"")</f>
        <v>MARCON INDUSTRIA METALURGICA LTDA</v>
      </c>
    </row>
    <row r="19" spans="1:2" x14ac:dyDescent="0.25">
      <c r="A19" s="15" t="s">
        <v>64</v>
      </c>
      <c r="B19" t="str">
        <f>IFERROR(INDEX(Planilha3!B:B,MATCH("*"&amp;SUBSTITUTE(A19,"BOLETO PAGO ","")&amp;"*",Planilha3!B:B,0)),"")</f>
        <v>GARTHEN INDUSTRIA E COMERCIO DE MAQUINAS LTDA</v>
      </c>
    </row>
    <row r="20" spans="1:2" hidden="1" x14ac:dyDescent="0.25">
      <c r="A20" s="15" t="s">
        <v>65</v>
      </c>
      <c r="B20" t="str">
        <f>IFERROR(INDEX(Planilha3!B:B,MATCH("*"&amp;SUBSTITUTE(A20,"BOLETO PAGO ","")&amp;"*",Planilha3!B:B,0)),"")</f>
        <v/>
      </c>
    </row>
    <row r="21" spans="1:2" x14ac:dyDescent="0.25">
      <c r="A21" s="15" t="s">
        <v>66</v>
      </c>
      <c r="B21" t="str">
        <f>IFERROR(INDEX(Planilha3!B:B,MATCH("*"&amp;SUBSTITUTE(A21,"BOLETO PAGO ","")&amp;"*",Planilha3!B:B,0)),"")</f>
        <v>LOTUS COMERCIAL DE FERRAGENS E FERRAMENTAS LTDA</v>
      </c>
    </row>
    <row r="22" spans="1:2" hidden="1" x14ac:dyDescent="0.25">
      <c r="A22" s="15" t="s">
        <v>67</v>
      </c>
      <c r="B22" t="str">
        <f>IFERROR(INDEX(Planilha3!B:B,MATCH("*"&amp;SUBSTITUTE(A22,"BOLETO PAGO ","")&amp;"*",Planilha3!B:B,0)),"")</f>
        <v/>
      </c>
    </row>
    <row r="23" spans="1:2" x14ac:dyDescent="0.25">
      <c r="A23" s="15" t="s">
        <v>68</v>
      </c>
      <c r="B23" t="str">
        <f>IFERROR(INDEX(Planilha3!B:B,MATCH("*"&amp;SUBSTITUTE(A23,"BOLETO PAGO ","")&amp;"*",Planilha3!B:B,0)),"")</f>
        <v>POSITEC IMPORTACAO DE FERRAMENTAS LTDA</v>
      </c>
    </row>
    <row r="24" spans="1:2" x14ac:dyDescent="0.25">
      <c r="A24" s="15" t="s">
        <v>69</v>
      </c>
      <c r="B24" t="str">
        <f>IFERROR(INDEX(Planilha3!B:B,MATCH("*"&amp;SUBSTITUTE(A24,"BOLETO PAGO ","")&amp;"*",Planilha3!B:B,0)),"")</f>
        <v>BEL FIX IMPORTACAO LTDA</v>
      </c>
    </row>
    <row r="25" spans="1:2" hidden="1" x14ac:dyDescent="0.25">
      <c r="A25" s="15" t="s">
        <v>70</v>
      </c>
      <c r="B25" t="str">
        <f>IFERROR(INDEX(Planilha3!B:B,MATCH("*"&amp;SUBSTITUTE(A25,"BOLETO PAGO ","")&amp;"*",Planilha3!B:B,0)),"")</f>
        <v/>
      </c>
    </row>
    <row r="26" spans="1:2" hidden="1" x14ac:dyDescent="0.25">
      <c r="A26" s="15" t="s">
        <v>71</v>
      </c>
      <c r="B26" t="str">
        <f>IFERROR(INDEX(Planilha3!B:B,MATCH("*"&amp;SUBSTITUTE(A26,"BOLETO PAGO ","")&amp;"*",Planilha3!B:B,0)),"")</f>
        <v/>
      </c>
    </row>
    <row r="27" spans="1:2" hidden="1" x14ac:dyDescent="0.25">
      <c r="A27" s="15" t="s">
        <v>72</v>
      </c>
      <c r="B27" t="str">
        <f>IFERROR(INDEX(Planilha3!B:B,MATCH("*"&amp;SUBSTITUTE(A27,"BOLETO PAGO ","")&amp;"*",Planilha3!B:B,0)),"")</f>
        <v/>
      </c>
    </row>
    <row r="28" spans="1:2" x14ac:dyDescent="0.25">
      <c r="A28" s="15" t="s">
        <v>73</v>
      </c>
      <c r="B28" t="str">
        <f>IFERROR(INDEX(Planilha3!B:B,MATCH("*"&amp;SUBSTITUTE(A28,"BOLETO PAGO ","")&amp;"*",Planilha3!B:B,0)),"")</f>
        <v>ASL ESPECIALISTA FILTROS E PECAS LTDA</v>
      </c>
    </row>
    <row r="29" spans="1:2" hidden="1" x14ac:dyDescent="0.25">
      <c r="A29" s="15" t="s">
        <v>74</v>
      </c>
      <c r="B29" t="str">
        <f>IFERROR(INDEX(Planilha3!B:B,MATCH("*"&amp;SUBSTITUTE(A29,"BOLETO PAGO ","")&amp;"*",Planilha3!B:B,0)),"")</f>
        <v/>
      </c>
    </row>
    <row r="30" spans="1:2" x14ac:dyDescent="0.25">
      <c r="A30" s="15" t="s">
        <v>82</v>
      </c>
      <c r="B30" t="str">
        <f>IFERROR(INDEX(Planilha3!B:B,MATCH("*"&amp;SUBSTITUTE(A30,"BOLETO PAGO ","")&amp;"*",Planilha3!B:B,0)),"")</f>
        <v>INFINITY COM. IMPORTAA?A?O E EXPORTACAO DE EQUIP. DE SEGURAN</v>
      </c>
    </row>
    <row r="31" spans="1:2" x14ac:dyDescent="0.25">
      <c r="A31" s="15" t="s">
        <v>83</v>
      </c>
      <c r="B31" t="str">
        <f>IFERROR(INDEX(Planilha3!B:B,MATCH("*"&amp;SUBSTITUTE(A31,"BOLETO PAGO ","")&amp;"*",Planilha3!B:B,0)),"")</f>
        <v>BRITANIA ELETRODOMESTICOS SA</v>
      </c>
    </row>
    <row r="32" spans="1:2" x14ac:dyDescent="0.25">
      <c r="A32" s="15" t="s">
        <v>84</v>
      </c>
      <c r="B32" t="str">
        <f>IFERROR(INDEX(Planilha3!B:B,MATCH("*"&amp;SUBSTITUTE(A32,"BOLETO PAGO ","")&amp;"*",Planilha3!B:B,0)),"")</f>
        <v>SEMAR IMPORT ATACADISTA LTDA</v>
      </c>
    </row>
    <row r="33" spans="1:2" hidden="1" x14ac:dyDescent="0.25">
      <c r="A33" s="15" t="s">
        <v>88</v>
      </c>
      <c r="B33" t="str">
        <f>IFERROR(INDEX(Planilha3!B:B,MATCH("*"&amp;SUBSTITUTE(A33,"BOLETO PAGO ","")&amp;"*",Planilha3!B:B,0)),"")</f>
        <v/>
      </c>
    </row>
    <row r="34" spans="1:2" hidden="1" x14ac:dyDescent="0.25">
      <c r="A34" s="15" t="s">
        <v>89</v>
      </c>
      <c r="B34" t="str">
        <f>IFERROR(INDEX(Planilha3!B:B,MATCH("*"&amp;SUBSTITUTE(A34,"BOLETO PAGO ","")&amp;"*",Planilha3!B:B,0)),"")</f>
        <v/>
      </c>
    </row>
    <row r="35" spans="1:2" x14ac:dyDescent="0.25">
      <c r="A35" s="15" t="s">
        <v>90</v>
      </c>
      <c r="B35" t="str">
        <f>IFERROR(INDEX(Planilha3!B:B,MATCH("*"&amp;SUBSTITUTE(A35,"BOLETO PAGO ","")&amp;"*",Planilha3!B:B,0)),"")</f>
        <v>AMATOOLS COML. E IMPORTADORA LTDA</v>
      </c>
    </row>
    <row r="36" spans="1:2" x14ac:dyDescent="0.25">
      <c r="A36" s="15" t="s">
        <v>91</v>
      </c>
      <c r="B36" t="str">
        <f>IFERROR(INDEX(Planilha3!B:B,MATCH("*"&amp;SUBSTITUTE(A36,"BOLETO PAGO ","")&amp;"*",Planilha3!B:B,0)),"")</f>
        <v>PERIM COMERCIO ATACADISTA E VAREJISTA DE AUTO PECAS LTDA</v>
      </c>
    </row>
    <row r="37" spans="1:2" x14ac:dyDescent="0.25">
      <c r="A37" s="15" t="s">
        <v>92</v>
      </c>
      <c r="B37" t="str">
        <f>IFERROR(INDEX(Planilha3!B:B,MATCH("*"&amp;SUBSTITUTE(A37,"BOLETO PAGO ","")&amp;"*",Planilha3!B:B,0)),"")</f>
        <v>EQUIPAMENTOS EMEB DO BRASIL LTDA</v>
      </c>
    </row>
    <row r="38" spans="1:2" hidden="1" x14ac:dyDescent="0.25">
      <c r="A38" s="15" t="s">
        <v>93</v>
      </c>
      <c r="B38" t="str">
        <f>IFERROR(INDEX(Planilha3!B:B,MATCH("*"&amp;SUBSTITUTE(A38,"BOLETO PAGO ","")&amp;"*",Planilha3!B:B,0)),"")</f>
        <v/>
      </c>
    </row>
    <row r="39" spans="1:2" hidden="1" x14ac:dyDescent="0.25">
      <c r="A39" s="15" t="s">
        <v>99</v>
      </c>
      <c r="B39" t="str">
        <f>IFERROR(INDEX(Planilha3!B:B,MATCH("*"&amp;SUBSTITUTE(A39,"BOLETO PAGO ","")&amp;"*",Planilha3!B:B,0)),"")</f>
        <v/>
      </c>
    </row>
    <row r="40" spans="1:2" x14ac:dyDescent="0.25">
      <c r="A40" s="15" t="s">
        <v>100</v>
      </c>
      <c r="B40" t="str">
        <f>IFERROR(INDEX(Planilha3!B:B,MATCH("*"&amp;SUBSTITUTE(A40,"BOLETO PAGO ","")&amp;"*",Planilha3!B:B,0)),"")</f>
        <v>METALOSA INDUSTRIA METALURGICA SA -FILIAL 08</v>
      </c>
    </row>
    <row r="41" spans="1:2" x14ac:dyDescent="0.25">
      <c r="A41" s="15" t="s">
        <v>101</v>
      </c>
      <c r="B41" t="str">
        <f>IFERROR(INDEX(Planilha3!B:B,MATCH("*"&amp;SUBSTITUTE(A41,"BOLETO PAGO ","")&amp;"*",Planilha3!B:B,0)),"")</f>
        <v>VENTISOL INDUSTRIA E COMERCIO S. A.</v>
      </c>
    </row>
    <row r="42" spans="1:2" hidden="1" x14ac:dyDescent="0.25">
      <c r="A42" s="15" t="s">
        <v>105</v>
      </c>
      <c r="B42" t="str">
        <f>IFERROR(INDEX(Planilha3!B:B,MATCH("*"&amp;SUBSTITUTE(A42,"BOLETO PAGO ","")&amp;"*",Planilha3!B:B,0)),"")</f>
        <v/>
      </c>
    </row>
    <row r="43" spans="1:2" x14ac:dyDescent="0.25">
      <c r="A43" s="15" t="s">
        <v>106</v>
      </c>
      <c r="B43" t="str">
        <f>IFERROR(INDEX(Planilha3!B:B,MATCH("*"&amp;SUBSTITUTE(A43,"BOLETO PAGO ","")&amp;"*",Planilha3!B:B,0)),"")</f>
        <v>ROTHENBERGER DO BRASIL LTDA</v>
      </c>
    </row>
    <row r="44" spans="1:2" x14ac:dyDescent="0.25">
      <c r="A44" s="15" t="s">
        <v>115</v>
      </c>
      <c r="B44" t="str">
        <f>IFERROR(INDEX(Planilha3!B:B,MATCH("*"&amp;SUBSTITUTE(A44,"BOLETO PAGO ","")&amp;"*",Planilha3!B:B,0)),"")</f>
        <v>FRIGELAR COMERCIO E INDUSTRIA LTDA</v>
      </c>
    </row>
    <row r="45" spans="1:2" hidden="1" x14ac:dyDescent="0.25">
      <c r="A45" s="15" t="s">
        <v>117</v>
      </c>
      <c r="B45" t="str">
        <f>IFERROR(INDEX(Planilha3!B:B,MATCH("*"&amp;SUBSTITUTE(A45,"BOLETO PAGO ","")&amp;"*",Planilha3!B:B,0)),"")</f>
        <v/>
      </c>
    </row>
    <row r="46" spans="1:2" hidden="1" x14ac:dyDescent="0.25">
      <c r="A46" s="15" t="s">
        <v>118</v>
      </c>
      <c r="B46" t="str">
        <f>IFERROR(INDEX(Planilha3!B:B,MATCH("*"&amp;SUBSTITUTE(A46,"BOLETO PAGO ","")&amp;"*",Planilha3!B:B,0)),"")</f>
        <v/>
      </c>
    </row>
    <row r="47" spans="1:2" x14ac:dyDescent="0.25">
      <c r="A47" s="15" t="s">
        <v>119</v>
      </c>
      <c r="B47" t="str">
        <f>IFERROR(INDEX(Planilha3!B:B,MATCH("*"&amp;SUBSTITUTE(A47,"BOLETO PAGO ","")&amp;"*",Planilha3!B:B,0)),"")</f>
        <v>SPINNER INDUSTRIA E COMERCIO LTDA.</v>
      </c>
    </row>
    <row r="48" spans="1:2" x14ac:dyDescent="0.25">
      <c r="A48" s="15" t="s">
        <v>127</v>
      </c>
      <c r="B48" t="str">
        <f>IFERROR(INDEX(Planilha3!B:B,MATCH("*"&amp;SUBSTITUTE(A48,"BOLETO PAGO ","")&amp;"*",Planilha3!B:B,0)),"")</f>
        <v>O.V.D. IMPORTADORA E DISTRIBUIDORA LTDA</v>
      </c>
    </row>
    <row r="49" spans="1:2" x14ac:dyDescent="0.25">
      <c r="A49" s="15" t="s">
        <v>128</v>
      </c>
      <c r="B49" t="str">
        <f>IFERROR(INDEX(Planilha3!B:B,MATCH("*"&amp;SUBSTITUTE(A49,"BOLETO PAGO ","")&amp;"*",Planilha3!B:B,0)),"")</f>
        <v>FAFS FERRAMENTARIA LTDA</v>
      </c>
    </row>
    <row r="50" spans="1:2" x14ac:dyDescent="0.25">
      <c r="A50" s="15" t="s">
        <v>129</v>
      </c>
      <c r="B50" t="str">
        <f>IFERROR(INDEX(Planilha3!B:B,MATCH("*"&amp;SUBSTITUTE(A50,"BOLETO PAGO ","")&amp;"*",Planilha3!B:B,0)),"")</f>
        <v>DC DISTRIBUIDORA DE EQUIPAMENTOS DE TELECOMUNICACOES - EIREL</v>
      </c>
    </row>
    <row r="51" spans="1:2" x14ac:dyDescent="0.25">
      <c r="A51" s="15" t="s">
        <v>134</v>
      </c>
      <c r="B51" t="str">
        <f>IFERROR(INDEX(Planilha3!B:B,MATCH("*"&amp;SUBSTITUTE(A51,"BOLETO PAGO ","")&amp;"*",Planilha3!B:B,0)),"")</f>
        <v>ITAU UNIBANCO HOLDING S.A.</v>
      </c>
    </row>
    <row r="52" spans="1:2" hidden="1" x14ac:dyDescent="0.25">
      <c r="A52" s="15" t="s">
        <v>141</v>
      </c>
      <c r="B52" t="str">
        <f>IFERROR(INDEX(Planilha3!B:B,MATCH("*"&amp;SUBSTITUTE(A52,"BOLETO PAGO ","")&amp;"*",Planilha3!B:B,0)),"")</f>
        <v/>
      </c>
    </row>
    <row r="53" spans="1:2" x14ac:dyDescent="0.25">
      <c r="A53" s="15" t="s">
        <v>142</v>
      </c>
      <c r="B53" t="str">
        <f>IFERROR(INDEX(Planilha3!B:B,MATCH("*"&amp;SUBSTITUTE(A53,"BOLETO PAGO ","")&amp;"*",Planilha3!B:B,0)),"")</f>
        <v>JC LUBRIFICANTES AUTOMOTIVOS LTDA</v>
      </c>
    </row>
    <row r="54" spans="1:2" hidden="1" x14ac:dyDescent="0.25">
      <c r="A54" s="15" t="s">
        <v>143</v>
      </c>
      <c r="B54" t="str">
        <f>IFERROR(INDEX(Planilha3!B:B,MATCH("*"&amp;SUBSTITUTE(A54,"BOLETO PAGO ","")&amp;"*",Planilha3!B:B,0)),"")</f>
        <v/>
      </c>
    </row>
    <row r="55" spans="1:2" x14ac:dyDescent="0.25">
      <c r="A55" s="15" t="s">
        <v>144</v>
      </c>
      <c r="B55" t="str">
        <f>IFERROR(INDEX(Planilha3!B:B,MATCH("*"&amp;SUBSTITUTE(A55,"BOLETO PAGO ","")&amp;"*",Planilha3!B:B,0)),"")</f>
        <v>TOYAMA DO BRASIL MAQUINAS LTDA</v>
      </c>
    </row>
    <row r="56" spans="1:2" x14ac:dyDescent="0.25">
      <c r="A56" s="15" t="s">
        <v>145</v>
      </c>
      <c r="B56" t="str">
        <f>IFERROR(INDEX(Planilha3!B:B,MATCH("*"&amp;SUBSTITUTE(A56,"BOLETO PAGO ","")&amp;"*",Planilha3!B:B,0)),"")</f>
        <v>MARCON INDUSTRIA METALURGICA LTDA</v>
      </c>
    </row>
    <row r="57" spans="1:2" hidden="1" x14ac:dyDescent="0.25">
      <c r="A57" s="15" t="s">
        <v>153</v>
      </c>
      <c r="B57" t="str">
        <f>IFERROR(INDEX(Planilha3!B:B,MATCH("*"&amp;SUBSTITUTE(A57,"BOLETO PAGO ","")&amp;"*",Planilha3!B:B,0)),"")</f>
        <v/>
      </c>
    </row>
    <row r="58" spans="1:2" hidden="1" x14ac:dyDescent="0.25">
      <c r="A58" s="15" t="s">
        <v>154</v>
      </c>
      <c r="B58" t="str">
        <f>IFERROR(INDEX(Planilha3!B:B,MATCH("*"&amp;SUBSTITUTE(A58,"BOLETO PAGO ","")&amp;"*",Planilha3!B:B,0)),"")</f>
        <v/>
      </c>
    </row>
    <row r="59" spans="1:2" x14ac:dyDescent="0.25">
      <c r="A59" s="15" t="s">
        <v>155</v>
      </c>
      <c r="B59" t="str">
        <f>IFERROR(INDEX(Planilha3!B:B,MATCH("*"&amp;SUBSTITUTE(A59,"BOLETO PAGO ","")&amp;"*",Planilha3!B:B,0)),"")</f>
        <v>MUNDIAL CENTER ATACADISTA S/A</v>
      </c>
    </row>
    <row r="60" spans="1:2" x14ac:dyDescent="0.25">
      <c r="A60" s="15" t="s">
        <v>156</v>
      </c>
      <c r="B60" t="str">
        <f>IFERROR(INDEX(Planilha3!B:B,MATCH("*"&amp;SUBSTITUTE(A60,"BOLETO PAGO ","")&amp;"*",Planilha3!B:B,0)),"")</f>
        <v>SANTINT DO BRASIL LTDA</v>
      </c>
    </row>
    <row r="61" spans="1:2" hidden="1" x14ac:dyDescent="0.25">
      <c r="A61" s="15" t="s">
        <v>162</v>
      </c>
      <c r="B61" t="str">
        <f>IFERROR(INDEX(Planilha3!B:B,MATCH("*"&amp;SUBSTITUTE(A61,"BOLETO PAGO ","")&amp;"*",Planilha3!B:B,0)),"")</f>
        <v/>
      </c>
    </row>
    <row r="62" spans="1:2" x14ac:dyDescent="0.25">
      <c r="A62" s="15" t="s">
        <v>163</v>
      </c>
      <c r="B62" t="str">
        <f>IFERROR(INDEX(Planilha3!B:B,MATCH("*"&amp;SUBSTITUTE(A62,"BOLETO PAGO ","")&amp;"*",Planilha3!B:B,0)),"")</f>
        <v>PRIMEIRA LINHA COMERCIAL ROLAMENTOS LTDA</v>
      </c>
    </row>
    <row r="63" spans="1:2" x14ac:dyDescent="0.25">
      <c r="A63" s="15" t="s">
        <v>164</v>
      </c>
      <c r="B63" t="str">
        <f>IFERROR(INDEX(Planilha3!B:B,MATCH("*"&amp;SUBSTITUTE(A63,"BOLETO PAGO ","")&amp;"*",Planilha3!B:B,0)),"")</f>
        <v>METALPAMA INDUSTRIA E COMERCIO LTDA</v>
      </c>
    </row>
    <row r="64" spans="1:2" x14ac:dyDescent="0.25">
      <c r="A64" s="15" t="s">
        <v>165</v>
      </c>
      <c r="B64" t="str">
        <f>IFERROR(INDEX(Planilha3!B:B,MATCH("*"&amp;SUBSTITUTE(A64,"BOLETO PAGO ","")&amp;"*",Planilha3!B:B,0)),"")</f>
        <v>PALETRANS EQUIPAMENTOS LTDA</v>
      </c>
    </row>
    <row r="65" spans="1:2" x14ac:dyDescent="0.25">
      <c r="A65" s="15" t="s">
        <v>166</v>
      </c>
      <c r="B65" t="str">
        <f>IFERROR(INDEX(Planilha3!B:B,MATCH("*"&amp;SUBSTITUTE(A65,"BOLETO PAGO ","")&amp;"*",Planilha3!B:B,0)),"")</f>
        <v>SIRIZINHO TOOL IMPORTACAO EXPORTACAO E COMERCIO LTDA</v>
      </c>
    </row>
    <row r="66" spans="1:2" x14ac:dyDescent="0.25">
      <c r="A66" s="15" t="s">
        <v>179</v>
      </c>
      <c r="B66" t="str">
        <f>IFERROR(INDEX(Planilha3!B:B,MATCH("*"&amp;SUBSTITUTE(A66,"BOLETO PAGO ","")&amp;"*",Planilha3!B:B,0)),"")</f>
        <v>BRASIL CID COMERCIO DE FERRAMENTAS LTDA</v>
      </c>
    </row>
    <row r="67" spans="1:2" x14ac:dyDescent="0.25">
      <c r="A67" s="15" t="s">
        <v>180</v>
      </c>
      <c r="B67" t="str">
        <f>IFERROR(INDEX(Planilha3!B:B,MATCH("*"&amp;SUBSTITUTE(A67,"BOLETO PAGO ","")&amp;"*",Planilha3!B:B,0)),"")</f>
        <v>BBF DISTRIBUIDORA NE LTDA</v>
      </c>
    </row>
    <row r="68" spans="1:2" hidden="1" x14ac:dyDescent="0.25">
      <c r="A68" s="15" t="s">
        <v>181</v>
      </c>
      <c r="B68" t="str">
        <f>IFERROR(INDEX(Planilha3!B:B,MATCH("*"&amp;SUBSTITUTE(A68,"BOLETO PAGO ","")&amp;"*",Planilha3!B:B,0)),"")</f>
        <v/>
      </c>
    </row>
    <row r="69" spans="1:2" x14ac:dyDescent="0.25">
      <c r="A69" s="15" t="s">
        <v>182</v>
      </c>
      <c r="B69" t="str">
        <f>IFERROR(INDEX(Planilha3!B:B,MATCH("*"&amp;SUBSTITUTE(A69,"BOLETO PAGO ","")&amp;"*",Planilha3!B:B,0)),"")</f>
        <v>DF EPI COMERCIO DE EQUIPAMENTOS DE PROTECAO INDIVIDUAL LTDA</v>
      </c>
    </row>
    <row r="70" spans="1:2" x14ac:dyDescent="0.25">
      <c r="A70" s="15" t="s">
        <v>183</v>
      </c>
      <c r="B70" t="str">
        <f>IFERROR(INDEX(Planilha3!B:B,MATCH("*"&amp;SUBSTITUTE(A70,"BOLETO PAGO ","")&amp;"*",Planilha3!B:B,0)),"")</f>
        <v>MARLUVAS EQUIPAMENTOS DE SEGURANCA LTDA</v>
      </c>
    </row>
    <row r="71" spans="1:2" x14ac:dyDescent="0.25">
      <c r="A71" s="15" t="s">
        <v>193</v>
      </c>
      <c r="B71" t="str">
        <f>IFERROR(INDEX(Planilha3!B:B,MATCH("*"&amp;SUBSTITUTE(A71,"BOLETO PAGO ","")&amp;"*",Planilha3!B:B,0)),"")</f>
        <v>SUPER SAFETY IMPORTACAO E EXPORTACAO LTDA</v>
      </c>
    </row>
    <row r="72" spans="1:2" hidden="1" x14ac:dyDescent="0.25">
      <c r="A72" s="15" t="s">
        <v>194</v>
      </c>
      <c r="B72" t="str">
        <f>IFERROR(INDEX(Planilha3!B:B,MATCH("*"&amp;SUBSTITUTE(A72,"BOLETO PAGO ","")&amp;"*",Planilha3!B:B,0)),"")</f>
        <v/>
      </c>
    </row>
    <row r="73" spans="1:2" x14ac:dyDescent="0.25">
      <c r="A73" s="15" t="s">
        <v>195</v>
      </c>
      <c r="B73" t="str">
        <f>IFERROR(INDEX(Planilha3!B:B,MATCH("*"&amp;SUBSTITUTE(A73,"BOLETO PAGO ","")&amp;"*",Planilha3!B:B,0)),"")</f>
        <v>SCHULZ COMPRESSORES LTDA</v>
      </c>
    </row>
    <row r="74" spans="1:2" x14ac:dyDescent="0.25">
      <c r="A74" s="15" t="s">
        <v>196</v>
      </c>
      <c r="B74" t="str">
        <f>IFERROR(INDEX(Planilha3!B:B,MATCH("*"&amp;SUBSTITUTE(A74,"BOLETO PAGO ","")&amp;"*",Planilha3!B:B,0)),"")</f>
        <v>R7X INDUSTRIA DE EMBALAGENS LTDA</v>
      </c>
    </row>
    <row r="75" spans="1:2" hidden="1" x14ac:dyDescent="0.25">
      <c r="A75" s="15" t="s">
        <v>201</v>
      </c>
      <c r="B75" t="str">
        <f>IFERROR(INDEX(Planilha3!B:B,MATCH("*"&amp;SUBSTITUTE(A75,"BOLETO PAGO ","")&amp;"*",Planilha3!B:B,0)),"")</f>
        <v/>
      </c>
    </row>
    <row r="76" spans="1:2" x14ac:dyDescent="0.25">
      <c r="A76" s="15" t="s">
        <v>206</v>
      </c>
      <c r="B76" t="str">
        <f>IFERROR(INDEX(Planilha3!B:B,MATCH("*"&amp;SUBSTITUTE(A76,"BOLETO PAGO ","")&amp;"*",Planilha3!B:B,0)),"")</f>
        <v>GALZER IMPORTACAO E EXPORTACAO LTDA</v>
      </c>
    </row>
    <row r="77" spans="1:2" x14ac:dyDescent="0.25">
      <c r="A77" s="15" t="s">
        <v>207</v>
      </c>
      <c r="B77" t="str">
        <f>IFERROR(INDEX(Planilha3!B:B,MATCH("*"&amp;SUBSTITUTE(A77,"BOLETO PAGO ","")&amp;"*",Planilha3!B:B,0)),"")</f>
        <v>EDYTECH COMERCIO DE PRODUTOS DE INFORMATICA LTDA</v>
      </c>
    </row>
    <row r="78" spans="1:2" x14ac:dyDescent="0.25">
      <c r="A78" s="15" t="s">
        <v>213</v>
      </c>
      <c r="B78" t="str">
        <f>IFERROR(INDEX(Planilha3!B:B,MATCH("*"&amp;SUBSTITUTE(A78,"BOLETO PAGO ","")&amp;"*",Planilha3!B:B,0)),"")</f>
        <v>WELD VISION IMPORTACAO E EXPORTACAO</v>
      </c>
    </row>
    <row r="79" spans="1:2" hidden="1" x14ac:dyDescent="0.25">
      <c r="A79" s="15" t="s">
        <v>216</v>
      </c>
      <c r="B79" t="str">
        <f>IFERROR(INDEX(Planilha3!B:B,MATCH("*"&amp;SUBSTITUTE(A79,"BOLETO PAGO ","")&amp;"*",Planilha3!B:B,0)),"")</f>
        <v/>
      </c>
    </row>
    <row r="80" spans="1:2" x14ac:dyDescent="0.25">
      <c r="A80" s="15" t="s">
        <v>217</v>
      </c>
      <c r="B80" t="str">
        <f>IFERROR(INDEX(Planilha3!B:B,MATCH("*"&amp;SUBSTITUTE(A80,"BOLETO PAGO ","")&amp;"*",Planilha3!B:B,0)),"")</f>
        <v>FLAJE FERRAMENTAS LTDA.</v>
      </c>
    </row>
    <row r="81" spans="1:2" hidden="1" x14ac:dyDescent="0.25">
      <c r="A81" s="15" t="s">
        <v>222</v>
      </c>
      <c r="B81" t="str">
        <f>IFERROR(INDEX(Planilha3!B:B,MATCH("*"&amp;SUBSTITUTE(A81,"BOLETO PAGO ","")&amp;"*",Planilha3!B:B,0)),"")</f>
        <v/>
      </c>
    </row>
  </sheetData>
  <autoFilter ref="A1:B81" xr:uid="{A8A0F190-2520-4CB9-9CE0-ACF8803BEBCB}">
    <filterColumn colId="1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04BAF-8D96-4AA6-9120-66164C1ADC92}">
  <dimension ref="A1:B343"/>
  <sheetViews>
    <sheetView workbookViewId="0">
      <selection activeCell="B10" sqref="B10"/>
    </sheetView>
  </sheetViews>
  <sheetFormatPr defaultRowHeight="15" x14ac:dyDescent="0.25"/>
  <cols>
    <col min="1" max="1" width="19.42578125" bestFit="1" customWidth="1"/>
    <col min="2" max="2" width="62.5703125" bestFit="1" customWidth="1"/>
  </cols>
  <sheetData>
    <row r="1" spans="1:2" x14ac:dyDescent="0.25">
      <c r="A1" s="14" t="s">
        <v>227</v>
      </c>
      <c r="B1" s="13" t="s">
        <v>228</v>
      </c>
    </row>
    <row r="2" spans="1:2" x14ac:dyDescent="0.25">
      <c r="A2" s="14" t="s">
        <v>227</v>
      </c>
      <c r="B2" s="13" t="s">
        <v>228</v>
      </c>
    </row>
    <row r="3" spans="1:2" x14ac:dyDescent="0.25">
      <c r="A3" s="14" t="s">
        <v>227</v>
      </c>
      <c r="B3" s="13" t="s">
        <v>229</v>
      </c>
    </row>
    <row r="4" spans="1:2" x14ac:dyDescent="0.25">
      <c r="A4" s="14" t="s">
        <v>227</v>
      </c>
      <c r="B4" s="13" t="s">
        <v>230</v>
      </c>
    </row>
    <row r="5" spans="1:2" x14ac:dyDescent="0.25">
      <c r="A5" s="14" t="s">
        <v>227</v>
      </c>
      <c r="B5" s="13" t="s">
        <v>231</v>
      </c>
    </row>
    <row r="6" spans="1:2" x14ac:dyDescent="0.25">
      <c r="A6" s="14" t="s">
        <v>227</v>
      </c>
      <c r="B6" s="13" t="s">
        <v>232</v>
      </c>
    </row>
    <row r="7" spans="1:2" x14ac:dyDescent="0.25">
      <c r="A7" s="14" t="s">
        <v>227</v>
      </c>
      <c r="B7" s="13" t="s">
        <v>232</v>
      </c>
    </row>
    <row r="8" spans="1:2" x14ac:dyDescent="0.25">
      <c r="A8" s="14" t="s">
        <v>227</v>
      </c>
      <c r="B8" s="13" t="s">
        <v>232</v>
      </c>
    </row>
    <row r="9" spans="1:2" x14ac:dyDescent="0.25">
      <c r="A9" s="14" t="s">
        <v>227</v>
      </c>
      <c r="B9" s="13" t="s">
        <v>233</v>
      </c>
    </row>
    <row r="10" spans="1:2" x14ac:dyDescent="0.25">
      <c r="A10" s="14" t="s">
        <v>227</v>
      </c>
      <c r="B10" s="13" t="s">
        <v>234</v>
      </c>
    </row>
    <row r="11" spans="1:2" x14ac:dyDescent="0.25">
      <c r="A11" s="14" t="s">
        <v>227</v>
      </c>
      <c r="B11" s="13" t="s">
        <v>235</v>
      </c>
    </row>
    <row r="12" spans="1:2" x14ac:dyDescent="0.25">
      <c r="A12" s="14" t="s">
        <v>227</v>
      </c>
      <c r="B12" s="13" t="s">
        <v>236</v>
      </c>
    </row>
    <row r="13" spans="1:2" x14ac:dyDescent="0.25">
      <c r="A13" s="14" t="s">
        <v>227</v>
      </c>
      <c r="B13" s="13" t="s">
        <v>237</v>
      </c>
    </row>
    <row r="14" spans="1:2" x14ac:dyDescent="0.25">
      <c r="A14" s="14" t="s">
        <v>227</v>
      </c>
      <c r="B14" s="13" t="s">
        <v>237</v>
      </c>
    </row>
    <row r="15" spans="1:2" x14ac:dyDescent="0.25">
      <c r="A15" s="14" t="s">
        <v>227</v>
      </c>
      <c r="B15" s="13" t="s">
        <v>238</v>
      </c>
    </row>
    <row r="16" spans="1:2" x14ac:dyDescent="0.25">
      <c r="A16" s="14" t="s">
        <v>227</v>
      </c>
      <c r="B16" s="13" t="s">
        <v>238</v>
      </c>
    </row>
    <row r="17" spans="1:2" x14ac:dyDescent="0.25">
      <c r="A17" s="14" t="s">
        <v>227</v>
      </c>
      <c r="B17" s="13" t="s">
        <v>238</v>
      </c>
    </row>
    <row r="18" spans="1:2" x14ac:dyDescent="0.25">
      <c r="A18" s="14" t="s">
        <v>227</v>
      </c>
      <c r="B18" s="13" t="s">
        <v>238</v>
      </c>
    </row>
    <row r="19" spans="1:2" x14ac:dyDescent="0.25">
      <c r="A19" s="14" t="s">
        <v>227</v>
      </c>
      <c r="B19" s="13" t="s">
        <v>238</v>
      </c>
    </row>
    <row r="20" spans="1:2" x14ac:dyDescent="0.25">
      <c r="A20" s="14" t="s">
        <v>227</v>
      </c>
      <c r="B20" s="13" t="s">
        <v>238</v>
      </c>
    </row>
    <row r="21" spans="1:2" x14ac:dyDescent="0.25">
      <c r="A21" s="14" t="s">
        <v>227</v>
      </c>
      <c r="B21" s="13" t="s">
        <v>238</v>
      </c>
    </row>
    <row r="22" spans="1:2" x14ac:dyDescent="0.25">
      <c r="A22" s="14" t="s">
        <v>227</v>
      </c>
      <c r="B22" s="13" t="s">
        <v>238</v>
      </c>
    </row>
    <row r="23" spans="1:2" x14ac:dyDescent="0.25">
      <c r="A23" s="14" t="s">
        <v>227</v>
      </c>
      <c r="B23" s="13" t="s">
        <v>238</v>
      </c>
    </row>
    <row r="24" spans="1:2" x14ac:dyDescent="0.25">
      <c r="A24" s="14" t="s">
        <v>227</v>
      </c>
      <c r="B24" s="13" t="s">
        <v>238</v>
      </c>
    </row>
    <row r="25" spans="1:2" x14ac:dyDescent="0.25">
      <c r="A25" s="14" t="s">
        <v>227</v>
      </c>
      <c r="B25" s="13" t="s">
        <v>238</v>
      </c>
    </row>
    <row r="26" spans="1:2" x14ac:dyDescent="0.25">
      <c r="A26" s="14" t="s">
        <v>227</v>
      </c>
      <c r="B26" s="13" t="s">
        <v>238</v>
      </c>
    </row>
    <row r="27" spans="1:2" x14ac:dyDescent="0.25">
      <c r="A27" s="14" t="s">
        <v>227</v>
      </c>
      <c r="B27" s="13" t="s">
        <v>238</v>
      </c>
    </row>
    <row r="28" spans="1:2" x14ac:dyDescent="0.25">
      <c r="A28" s="14" t="s">
        <v>227</v>
      </c>
      <c r="B28" s="13" t="s">
        <v>239</v>
      </c>
    </row>
    <row r="29" spans="1:2" x14ac:dyDescent="0.25">
      <c r="A29" s="14" t="s">
        <v>227</v>
      </c>
      <c r="B29" s="13" t="s">
        <v>240</v>
      </c>
    </row>
    <row r="30" spans="1:2" x14ac:dyDescent="0.25">
      <c r="A30" s="14" t="s">
        <v>227</v>
      </c>
      <c r="B30" s="13" t="s">
        <v>240</v>
      </c>
    </row>
    <row r="31" spans="1:2" x14ac:dyDescent="0.25">
      <c r="A31" s="14" t="s">
        <v>227</v>
      </c>
      <c r="B31" s="13" t="s">
        <v>228</v>
      </c>
    </row>
    <row r="32" spans="1:2" x14ac:dyDescent="0.25">
      <c r="A32" s="14" t="s">
        <v>227</v>
      </c>
      <c r="B32" s="13" t="s">
        <v>241</v>
      </c>
    </row>
    <row r="33" spans="1:2" x14ac:dyDescent="0.25">
      <c r="A33" s="14" t="s">
        <v>227</v>
      </c>
      <c r="B33" s="13" t="s">
        <v>242</v>
      </c>
    </row>
    <row r="34" spans="1:2" x14ac:dyDescent="0.25">
      <c r="A34" s="14" t="s">
        <v>227</v>
      </c>
      <c r="B34" s="13" t="s">
        <v>232</v>
      </c>
    </row>
    <row r="35" spans="1:2" x14ac:dyDescent="0.25">
      <c r="A35" s="14" t="s">
        <v>227</v>
      </c>
      <c r="B35" s="13" t="s">
        <v>232</v>
      </c>
    </row>
    <row r="36" spans="1:2" x14ac:dyDescent="0.25">
      <c r="A36" s="14" t="s">
        <v>227</v>
      </c>
      <c r="B36" s="13" t="s">
        <v>237</v>
      </c>
    </row>
    <row r="37" spans="1:2" x14ac:dyDescent="0.25">
      <c r="A37" s="14" t="s">
        <v>227</v>
      </c>
      <c r="B37" s="13" t="s">
        <v>237</v>
      </c>
    </row>
    <row r="38" spans="1:2" x14ac:dyDescent="0.25">
      <c r="A38" s="14" t="s">
        <v>227</v>
      </c>
      <c r="B38" s="13" t="s">
        <v>243</v>
      </c>
    </row>
    <row r="39" spans="1:2" x14ac:dyDescent="0.25">
      <c r="A39" s="14" t="s">
        <v>227</v>
      </c>
      <c r="B39" s="13" t="s">
        <v>244</v>
      </c>
    </row>
    <row r="40" spans="1:2" x14ac:dyDescent="0.25">
      <c r="A40" s="14" t="s">
        <v>227</v>
      </c>
      <c r="B40" s="13" t="s">
        <v>244</v>
      </c>
    </row>
    <row r="41" spans="1:2" x14ac:dyDescent="0.25">
      <c r="A41" s="14" t="s">
        <v>227</v>
      </c>
      <c r="B41" s="13" t="s">
        <v>245</v>
      </c>
    </row>
    <row r="42" spans="1:2" x14ac:dyDescent="0.25">
      <c r="A42" s="14" t="s">
        <v>227</v>
      </c>
      <c r="B42" s="13" t="s">
        <v>246</v>
      </c>
    </row>
    <row r="43" spans="1:2" x14ac:dyDescent="0.25">
      <c r="A43" s="14" t="s">
        <v>227</v>
      </c>
      <c r="B43" s="13" t="s">
        <v>247</v>
      </c>
    </row>
    <row r="44" spans="1:2" x14ac:dyDescent="0.25">
      <c r="A44" s="14" t="s">
        <v>227</v>
      </c>
      <c r="B44" s="13" t="s">
        <v>248</v>
      </c>
    </row>
    <row r="45" spans="1:2" x14ac:dyDescent="0.25">
      <c r="A45" s="14" t="s">
        <v>227</v>
      </c>
      <c r="B45" s="13" t="s">
        <v>249</v>
      </c>
    </row>
    <row r="46" spans="1:2" x14ac:dyDescent="0.25">
      <c r="A46" s="14" t="s">
        <v>227</v>
      </c>
      <c r="B46" s="13" t="s">
        <v>237</v>
      </c>
    </row>
    <row r="47" spans="1:2" x14ac:dyDescent="0.25">
      <c r="A47" s="14" t="s">
        <v>227</v>
      </c>
      <c r="B47" s="13" t="s">
        <v>237</v>
      </c>
    </row>
    <row r="48" spans="1:2" x14ac:dyDescent="0.25">
      <c r="A48" s="14" t="s">
        <v>227</v>
      </c>
      <c r="B48" s="13" t="s">
        <v>250</v>
      </c>
    </row>
    <row r="49" spans="1:2" x14ac:dyDescent="0.25">
      <c r="A49" s="14" t="s">
        <v>227</v>
      </c>
      <c r="B49" s="13" t="s">
        <v>251</v>
      </c>
    </row>
    <row r="50" spans="1:2" x14ac:dyDescent="0.25">
      <c r="A50" s="14" t="s">
        <v>227</v>
      </c>
      <c r="B50" s="13" t="s">
        <v>247</v>
      </c>
    </row>
    <row r="51" spans="1:2" x14ac:dyDescent="0.25">
      <c r="A51" s="14" t="s">
        <v>227</v>
      </c>
      <c r="B51" s="13" t="s">
        <v>252</v>
      </c>
    </row>
    <row r="52" spans="1:2" x14ac:dyDescent="0.25">
      <c r="A52" s="14" t="s">
        <v>227</v>
      </c>
      <c r="B52" s="13" t="s">
        <v>237</v>
      </c>
    </row>
    <row r="53" spans="1:2" x14ac:dyDescent="0.25">
      <c r="A53" s="14" t="s">
        <v>227</v>
      </c>
      <c r="B53" s="13" t="s">
        <v>253</v>
      </c>
    </row>
    <row r="54" spans="1:2" x14ac:dyDescent="0.25">
      <c r="A54" s="14" t="s">
        <v>227</v>
      </c>
      <c r="B54" s="13" t="s">
        <v>254</v>
      </c>
    </row>
    <row r="55" spans="1:2" x14ac:dyDescent="0.25">
      <c r="A55" s="14" t="s">
        <v>227</v>
      </c>
      <c r="B55" s="13" t="s">
        <v>243</v>
      </c>
    </row>
    <row r="56" spans="1:2" x14ac:dyDescent="0.25">
      <c r="A56" s="14" t="s">
        <v>227</v>
      </c>
      <c r="B56" s="13" t="s">
        <v>255</v>
      </c>
    </row>
    <row r="57" spans="1:2" x14ac:dyDescent="0.25">
      <c r="A57" s="14" t="s">
        <v>227</v>
      </c>
      <c r="B57" s="13" t="s">
        <v>254</v>
      </c>
    </row>
    <row r="58" spans="1:2" x14ac:dyDescent="0.25">
      <c r="A58" s="14" t="s">
        <v>227</v>
      </c>
      <c r="B58" s="13" t="s">
        <v>256</v>
      </c>
    </row>
    <row r="59" spans="1:2" x14ac:dyDescent="0.25">
      <c r="A59" s="14" t="s">
        <v>227</v>
      </c>
      <c r="B59" s="13" t="s">
        <v>228</v>
      </c>
    </row>
    <row r="60" spans="1:2" x14ac:dyDescent="0.25">
      <c r="A60" s="14" t="s">
        <v>227</v>
      </c>
      <c r="B60" s="13" t="s">
        <v>257</v>
      </c>
    </row>
    <row r="61" spans="1:2" x14ac:dyDescent="0.25">
      <c r="A61" s="14" t="s">
        <v>227</v>
      </c>
      <c r="B61" s="13" t="s">
        <v>247</v>
      </c>
    </row>
    <row r="62" spans="1:2" x14ac:dyDescent="0.25">
      <c r="A62" s="14" t="s">
        <v>227</v>
      </c>
      <c r="B62" s="13" t="s">
        <v>258</v>
      </c>
    </row>
    <row r="63" spans="1:2" x14ac:dyDescent="0.25">
      <c r="A63" s="14" t="s">
        <v>227</v>
      </c>
      <c r="B63" s="13" t="s">
        <v>259</v>
      </c>
    </row>
    <row r="64" spans="1:2" x14ac:dyDescent="0.25">
      <c r="A64" s="14" t="s">
        <v>227</v>
      </c>
      <c r="B64" s="13" t="s">
        <v>235</v>
      </c>
    </row>
    <row r="65" spans="1:2" x14ac:dyDescent="0.25">
      <c r="A65" s="14" t="s">
        <v>227</v>
      </c>
      <c r="B65" s="13" t="s">
        <v>253</v>
      </c>
    </row>
    <row r="66" spans="1:2" x14ac:dyDescent="0.25">
      <c r="A66" s="14" t="s">
        <v>227</v>
      </c>
      <c r="B66" s="13" t="s">
        <v>260</v>
      </c>
    </row>
    <row r="67" spans="1:2" x14ac:dyDescent="0.25">
      <c r="A67" s="14" t="s">
        <v>227</v>
      </c>
      <c r="B67" s="13" t="s">
        <v>247</v>
      </c>
    </row>
    <row r="68" spans="1:2" x14ac:dyDescent="0.25">
      <c r="A68" s="14" t="s">
        <v>227</v>
      </c>
      <c r="B68" s="13" t="s">
        <v>261</v>
      </c>
    </row>
    <row r="69" spans="1:2" x14ac:dyDescent="0.25">
      <c r="A69" s="14" t="s">
        <v>227</v>
      </c>
      <c r="B69" s="13" t="s">
        <v>262</v>
      </c>
    </row>
    <row r="70" spans="1:2" x14ac:dyDescent="0.25">
      <c r="A70" s="14" t="s">
        <v>227</v>
      </c>
      <c r="B70" s="13" t="s">
        <v>232</v>
      </c>
    </row>
    <row r="71" spans="1:2" x14ac:dyDescent="0.25">
      <c r="A71" s="14" t="s">
        <v>227</v>
      </c>
      <c r="B71" s="13" t="s">
        <v>237</v>
      </c>
    </row>
    <row r="72" spans="1:2" x14ac:dyDescent="0.25">
      <c r="A72" s="14" t="s">
        <v>227</v>
      </c>
      <c r="B72" s="13" t="s">
        <v>253</v>
      </c>
    </row>
    <row r="73" spans="1:2" x14ac:dyDescent="0.25">
      <c r="A73" s="14" t="s">
        <v>227</v>
      </c>
      <c r="B73" s="13" t="s">
        <v>263</v>
      </c>
    </row>
    <row r="74" spans="1:2" x14ac:dyDescent="0.25">
      <c r="A74" s="14" t="s">
        <v>227</v>
      </c>
      <c r="B74" s="13" t="s">
        <v>264</v>
      </c>
    </row>
    <row r="75" spans="1:2" x14ac:dyDescent="0.25">
      <c r="A75" s="14" t="s">
        <v>227</v>
      </c>
      <c r="B75" s="13" t="s">
        <v>256</v>
      </c>
    </row>
    <row r="76" spans="1:2" x14ac:dyDescent="0.25">
      <c r="A76" s="14" t="s">
        <v>227</v>
      </c>
      <c r="B76" s="13" t="s">
        <v>265</v>
      </c>
    </row>
    <row r="77" spans="1:2" x14ac:dyDescent="0.25">
      <c r="A77" s="14" t="s">
        <v>227</v>
      </c>
      <c r="B77" s="13" t="s">
        <v>265</v>
      </c>
    </row>
    <row r="78" spans="1:2" x14ac:dyDescent="0.25">
      <c r="A78" s="14" t="s">
        <v>227</v>
      </c>
      <c r="B78" s="13" t="s">
        <v>265</v>
      </c>
    </row>
    <row r="79" spans="1:2" x14ac:dyDescent="0.25">
      <c r="A79" s="14" t="s">
        <v>227</v>
      </c>
      <c r="B79" s="13" t="s">
        <v>266</v>
      </c>
    </row>
    <row r="80" spans="1:2" x14ac:dyDescent="0.25">
      <c r="A80" s="14" t="s">
        <v>227</v>
      </c>
      <c r="B80" s="13" t="s">
        <v>232</v>
      </c>
    </row>
    <row r="81" spans="1:2" x14ac:dyDescent="0.25">
      <c r="A81" s="14" t="s">
        <v>227</v>
      </c>
      <c r="B81" s="13" t="s">
        <v>232</v>
      </c>
    </row>
    <row r="82" spans="1:2" x14ac:dyDescent="0.25">
      <c r="A82" s="14" t="s">
        <v>227</v>
      </c>
      <c r="B82" s="13" t="s">
        <v>232</v>
      </c>
    </row>
    <row r="83" spans="1:2" x14ac:dyDescent="0.25">
      <c r="A83" s="14" t="s">
        <v>227</v>
      </c>
      <c r="B83" s="13" t="s">
        <v>232</v>
      </c>
    </row>
    <row r="84" spans="1:2" x14ac:dyDescent="0.25">
      <c r="A84" s="14" t="s">
        <v>227</v>
      </c>
      <c r="B84" s="13" t="s">
        <v>235</v>
      </c>
    </row>
    <row r="85" spans="1:2" x14ac:dyDescent="0.25">
      <c r="A85" s="14" t="s">
        <v>227</v>
      </c>
      <c r="B85" s="13" t="s">
        <v>236</v>
      </c>
    </row>
    <row r="86" spans="1:2" x14ac:dyDescent="0.25">
      <c r="A86" s="14" t="s">
        <v>227</v>
      </c>
      <c r="B86" s="13" t="s">
        <v>267</v>
      </c>
    </row>
    <row r="87" spans="1:2" x14ac:dyDescent="0.25">
      <c r="A87" s="14" t="s">
        <v>227</v>
      </c>
      <c r="B87" s="13" t="s">
        <v>237</v>
      </c>
    </row>
    <row r="88" spans="1:2" x14ac:dyDescent="0.25">
      <c r="A88" s="14" t="s">
        <v>227</v>
      </c>
      <c r="B88" s="13" t="s">
        <v>237</v>
      </c>
    </row>
    <row r="89" spans="1:2" x14ac:dyDescent="0.25">
      <c r="A89" s="14" t="s">
        <v>227</v>
      </c>
      <c r="B89" s="13" t="s">
        <v>268</v>
      </c>
    </row>
    <row r="90" spans="1:2" x14ac:dyDescent="0.25">
      <c r="A90" s="14" t="s">
        <v>227</v>
      </c>
      <c r="B90" s="13" t="s">
        <v>228</v>
      </c>
    </row>
    <row r="91" spans="1:2" x14ac:dyDescent="0.25">
      <c r="A91" s="14" t="s">
        <v>227</v>
      </c>
      <c r="B91" s="13" t="s">
        <v>228</v>
      </c>
    </row>
    <row r="92" spans="1:2" x14ac:dyDescent="0.25">
      <c r="A92" s="14" t="s">
        <v>227</v>
      </c>
      <c r="B92" s="13" t="s">
        <v>269</v>
      </c>
    </row>
    <row r="93" spans="1:2" x14ac:dyDescent="0.25">
      <c r="A93" s="14" t="s">
        <v>227</v>
      </c>
      <c r="B93" s="13" t="s">
        <v>247</v>
      </c>
    </row>
    <row r="94" spans="1:2" x14ac:dyDescent="0.25">
      <c r="A94" s="14" t="s">
        <v>227</v>
      </c>
      <c r="B94" s="13" t="s">
        <v>247</v>
      </c>
    </row>
    <row r="95" spans="1:2" x14ac:dyDescent="0.25">
      <c r="A95" s="14" t="s">
        <v>227</v>
      </c>
      <c r="B95" s="13" t="s">
        <v>247</v>
      </c>
    </row>
    <row r="96" spans="1:2" x14ac:dyDescent="0.25">
      <c r="A96" s="14" t="s">
        <v>227</v>
      </c>
      <c r="B96" s="13" t="s">
        <v>247</v>
      </c>
    </row>
    <row r="97" spans="1:2" x14ac:dyDescent="0.25">
      <c r="A97" s="14" t="s">
        <v>227</v>
      </c>
      <c r="B97" s="13" t="s">
        <v>247</v>
      </c>
    </row>
    <row r="98" spans="1:2" x14ac:dyDescent="0.25">
      <c r="A98" s="14" t="s">
        <v>227</v>
      </c>
      <c r="B98" s="13" t="s">
        <v>270</v>
      </c>
    </row>
    <row r="99" spans="1:2" x14ac:dyDescent="0.25">
      <c r="A99" s="14" t="s">
        <v>227</v>
      </c>
      <c r="B99" s="13" t="s">
        <v>235</v>
      </c>
    </row>
    <row r="100" spans="1:2" x14ac:dyDescent="0.25">
      <c r="A100" s="14" t="s">
        <v>227</v>
      </c>
      <c r="B100" s="13" t="s">
        <v>235</v>
      </c>
    </row>
    <row r="101" spans="1:2" x14ac:dyDescent="0.25">
      <c r="A101" s="14" t="s">
        <v>227</v>
      </c>
      <c r="B101" s="13" t="s">
        <v>253</v>
      </c>
    </row>
    <row r="102" spans="1:2" x14ac:dyDescent="0.25">
      <c r="A102" s="14" t="s">
        <v>227</v>
      </c>
      <c r="B102" s="13" t="s">
        <v>271</v>
      </c>
    </row>
    <row r="103" spans="1:2" x14ac:dyDescent="0.25">
      <c r="A103" s="14" t="s">
        <v>227</v>
      </c>
      <c r="B103" s="13" t="s">
        <v>235</v>
      </c>
    </row>
    <row r="104" spans="1:2" x14ac:dyDescent="0.25">
      <c r="A104" s="14" t="s">
        <v>227</v>
      </c>
      <c r="B104" s="13" t="s">
        <v>235</v>
      </c>
    </row>
    <row r="105" spans="1:2" x14ac:dyDescent="0.25">
      <c r="A105" s="14" t="s">
        <v>227</v>
      </c>
      <c r="B105" s="13" t="s">
        <v>237</v>
      </c>
    </row>
    <row r="106" spans="1:2" x14ac:dyDescent="0.25">
      <c r="A106" s="14" t="s">
        <v>227</v>
      </c>
      <c r="B106" s="13" t="s">
        <v>237</v>
      </c>
    </row>
    <row r="107" spans="1:2" x14ac:dyDescent="0.25">
      <c r="A107" s="14" t="s">
        <v>227</v>
      </c>
      <c r="B107" s="13" t="s">
        <v>237</v>
      </c>
    </row>
    <row r="108" spans="1:2" x14ac:dyDescent="0.25">
      <c r="A108" s="14" t="s">
        <v>227</v>
      </c>
      <c r="B108" s="13" t="s">
        <v>237</v>
      </c>
    </row>
    <row r="109" spans="1:2" x14ac:dyDescent="0.25">
      <c r="A109" s="14" t="s">
        <v>227</v>
      </c>
      <c r="B109" s="13" t="s">
        <v>237</v>
      </c>
    </row>
    <row r="110" spans="1:2" x14ac:dyDescent="0.25">
      <c r="A110" s="14" t="s">
        <v>227</v>
      </c>
      <c r="B110" s="13" t="s">
        <v>253</v>
      </c>
    </row>
    <row r="111" spans="1:2" x14ac:dyDescent="0.25">
      <c r="A111" s="14" t="s">
        <v>227</v>
      </c>
      <c r="B111" s="13" t="s">
        <v>272</v>
      </c>
    </row>
    <row r="112" spans="1:2" x14ac:dyDescent="0.25">
      <c r="A112" s="14" t="s">
        <v>227</v>
      </c>
      <c r="B112" s="13" t="s">
        <v>273</v>
      </c>
    </row>
    <row r="113" spans="1:2" x14ac:dyDescent="0.25">
      <c r="A113" s="14" t="s">
        <v>227</v>
      </c>
      <c r="B113" s="13" t="s">
        <v>253</v>
      </c>
    </row>
    <row r="114" spans="1:2" x14ac:dyDescent="0.25">
      <c r="A114" s="14" t="s">
        <v>227</v>
      </c>
      <c r="B114" s="13" t="s">
        <v>239</v>
      </c>
    </row>
    <row r="115" spans="1:2" x14ac:dyDescent="0.25">
      <c r="A115" s="14" t="s">
        <v>227</v>
      </c>
      <c r="B115" s="13" t="s">
        <v>257</v>
      </c>
    </row>
    <row r="116" spans="1:2" x14ac:dyDescent="0.25">
      <c r="A116" s="14" t="s">
        <v>227</v>
      </c>
      <c r="B116" s="13" t="s">
        <v>241</v>
      </c>
    </row>
    <row r="117" spans="1:2" x14ac:dyDescent="0.25">
      <c r="A117" s="14" t="s">
        <v>227</v>
      </c>
      <c r="B117" s="13" t="s">
        <v>252</v>
      </c>
    </row>
    <row r="118" spans="1:2" x14ac:dyDescent="0.25">
      <c r="A118" s="14" t="s">
        <v>227</v>
      </c>
      <c r="B118" s="13" t="s">
        <v>252</v>
      </c>
    </row>
    <row r="119" spans="1:2" x14ac:dyDescent="0.25">
      <c r="A119" s="14" t="s">
        <v>227</v>
      </c>
      <c r="B119" s="13" t="s">
        <v>253</v>
      </c>
    </row>
    <row r="120" spans="1:2" x14ac:dyDescent="0.25">
      <c r="A120" s="14" t="s">
        <v>227</v>
      </c>
      <c r="B120" s="13" t="s">
        <v>274</v>
      </c>
    </row>
    <row r="121" spans="1:2" x14ac:dyDescent="0.25">
      <c r="A121" s="14" t="s">
        <v>227</v>
      </c>
      <c r="B121" s="13" t="s">
        <v>275</v>
      </c>
    </row>
    <row r="122" spans="1:2" x14ac:dyDescent="0.25">
      <c r="A122" s="14" t="s">
        <v>227</v>
      </c>
      <c r="B122" s="13" t="s">
        <v>252</v>
      </c>
    </row>
    <row r="123" spans="1:2" x14ac:dyDescent="0.25">
      <c r="A123" s="14" t="s">
        <v>227</v>
      </c>
      <c r="B123" s="13" t="s">
        <v>232</v>
      </c>
    </row>
    <row r="124" spans="1:2" x14ac:dyDescent="0.25">
      <c r="A124" s="14" t="s">
        <v>227</v>
      </c>
      <c r="B124" s="13" t="s">
        <v>232</v>
      </c>
    </row>
    <row r="125" spans="1:2" x14ac:dyDescent="0.25">
      <c r="A125" s="14" t="s">
        <v>227</v>
      </c>
      <c r="B125" s="13" t="s">
        <v>233</v>
      </c>
    </row>
    <row r="126" spans="1:2" x14ac:dyDescent="0.25">
      <c r="A126" s="14" t="s">
        <v>227</v>
      </c>
      <c r="B126" s="13" t="s">
        <v>237</v>
      </c>
    </row>
    <row r="127" spans="1:2" x14ac:dyDescent="0.25">
      <c r="A127" s="14" t="s">
        <v>227</v>
      </c>
      <c r="B127" s="13" t="s">
        <v>276</v>
      </c>
    </row>
    <row r="128" spans="1:2" x14ac:dyDescent="0.25">
      <c r="A128" s="14" t="s">
        <v>227</v>
      </c>
      <c r="B128" s="13" t="s">
        <v>276</v>
      </c>
    </row>
    <row r="129" spans="1:2" x14ac:dyDescent="0.25">
      <c r="A129" s="14" t="s">
        <v>227</v>
      </c>
      <c r="B129" s="13" t="s">
        <v>244</v>
      </c>
    </row>
    <row r="130" spans="1:2" x14ac:dyDescent="0.25">
      <c r="A130" s="14" t="s">
        <v>227</v>
      </c>
      <c r="B130" s="13" t="s">
        <v>228</v>
      </c>
    </row>
    <row r="131" spans="1:2" x14ac:dyDescent="0.25">
      <c r="A131" s="14" t="s">
        <v>227</v>
      </c>
      <c r="B131" s="13" t="s">
        <v>247</v>
      </c>
    </row>
    <row r="132" spans="1:2" x14ac:dyDescent="0.25">
      <c r="A132" s="14" t="s">
        <v>227</v>
      </c>
      <c r="B132" s="13" t="s">
        <v>247</v>
      </c>
    </row>
    <row r="133" spans="1:2" x14ac:dyDescent="0.25">
      <c r="A133" s="14" t="s">
        <v>227</v>
      </c>
      <c r="B133" s="13" t="s">
        <v>247</v>
      </c>
    </row>
    <row r="134" spans="1:2" x14ac:dyDescent="0.25">
      <c r="A134" s="14" t="s">
        <v>227</v>
      </c>
      <c r="B134" s="13" t="s">
        <v>277</v>
      </c>
    </row>
    <row r="135" spans="1:2" x14ac:dyDescent="0.25">
      <c r="A135" s="14" t="s">
        <v>227</v>
      </c>
      <c r="B135" s="13" t="s">
        <v>278</v>
      </c>
    </row>
    <row r="136" spans="1:2" x14ac:dyDescent="0.25">
      <c r="A136" s="14" t="s">
        <v>227</v>
      </c>
      <c r="B136" s="13" t="s">
        <v>279</v>
      </c>
    </row>
    <row r="137" spans="1:2" x14ac:dyDescent="0.25">
      <c r="A137" s="14" t="s">
        <v>227</v>
      </c>
      <c r="B137" s="13" t="s">
        <v>262</v>
      </c>
    </row>
    <row r="138" spans="1:2" x14ac:dyDescent="0.25">
      <c r="A138" s="14" t="s">
        <v>227</v>
      </c>
      <c r="B138" s="13" t="s">
        <v>252</v>
      </c>
    </row>
    <row r="139" spans="1:2" x14ac:dyDescent="0.25">
      <c r="A139" s="14" t="s">
        <v>227</v>
      </c>
      <c r="B139" s="13" t="s">
        <v>233</v>
      </c>
    </row>
    <row r="140" spans="1:2" x14ac:dyDescent="0.25">
      <c r="A140" s="14" t="s">
        <v>227</v>
      </c>
      <c r="B140" s="13" t="s">
        <v>267</v>
      </c>
    </row>
    <row r="141" spans="1:2" x14ac:dyDescent="0.25">
      <c r="A141" s="14" t="s">
        <v>227</v>
      </c>
      <c r="B141" s="13" t="s">
        <v>237</v>
      </c>
    </row>
    <row r="142" spans="1:2" x14ac:dyDescent="0.25">
      <c r="A142" s="14" t="s">
        <v>227</v>
      </c>
      <c r="B142" s="13" t="s">
        <v>253</v>
      </c>
    </row>
    <row r="143" spans="1:2" x14ac:dyDescent="0.25">
      <c r="A143" s="14" t="s">
        <v>227</v>
      </c>
      <c r="B143" s="13" t="s">
        <v>263</v>
      </c>
    </row>
    <row r="144" spans="1:2" x14ac:dyDescent="0.25">
      <c r="A144" s="14" t="s">
        <v>227</v>
      </c>
      <c r="B144" s="13" t="s">
        <v>254</v>
      </c>
    </row>
    <row r="145" spans="1:2" x14ac:dyDescent="0.25">
      <c r="A145" s="14" t="s">
        <v>227</v>
      </c>
      <c r="B145" s="13" t="s">
        <v>244</v>
      </c>
    </row>
    <row r="146" spans="1:2" x14ac:dyDescent="0.25">
      <c r="A146" s="14" t="s">
        <v>227</v>
      </c>
      <c r="B146" s="13" t="s">
        <v>280</v>
      </c>
    </row>
    <row r="147" spans="1:2" x14ac:dyDescent="0.25">
      <c r="A147" s="14" t="s">
        <v>227</v>
      </c>
      <c r="B147" s="13" t="s">
        <v>281</v>
      </c>
    </row>
    <row r="148" spans="1:2" x14ac:dyDescent="0.25">
      <c r="A148" s="14" t="s">
        <v>227</v>
      </c>
      <c r="B148" s="13" t="s">
        <v>282</v>
      </c>
    </row>
    <row r="149" spans="1:2" x14ac:dyDescent="0.25">
      <c r="A149" s="14" t="s">
        <v>227</v>
      </c>
      <c r="B149" s="13" t="s">
        <v>247</v>
      </c>
    </row>
    <row r="150" spans="1:2" x14ac:dyDescent="0.25">
      <c r="A150" s="14" t="s">
        <v>227</v>
      </c>
      <c r="B150" s="13" t="s">
        <v>247</v>
      </c>
    </row>
    <row r="151" spans="1:2" x14ac:dyDescent="0.25">
      <c r="A151" s="14" t="s">
        <v>227</v>
      </c>
      <c r="B151" s="13" t="s">
        <v>283</v>
      </c>
    </row>
    <row r="152" spans="1:2" x14ac:dyDescent="0.25">
      <c r="A152" s="14" t="s">
        <v>227</v>
      </c>
      <c r="B152" s="13" t="s">
        <v>275</v>
      </c>
    </row>
    <row r="153" spans="1:2" x14ac:dyDescent="0.25">
      <c r="A153" s="14" t="s">
        <v>227</v>
      </c>
      <c r="B153" s="13" t="s">
        <v>275</v>
      </c>
    </row>
    <row r="154" spans="1:2" x14ac:dyDescent="0.25">
      <c r="A154" s="14" t="s">
        <v>227</v>
      </c>
      <c r="B154" s="13" t="s">
        <v>284</v>
      </c>
    </row>
    <row r="155" spans="1:2" x14ac:dyDescent="0.25">
      <c r="A155" s="14" t="s">
        <v>227</v>
      </c>
      <c r="B155" s="13" t="s">
        <v>284</v>
      </c>
    </row>
    <row r="156" spans="1:2" x14ac:dyDescent="0.25">
      <c r="A156" s="14" t="s">
        <v>227</v>
      </c>
      <c r="B156" s="13" t="s">
        <v>231</v>
      </c>
    </row>
    <row r="157" spans="1:2" x14ac:dyDescent="0.25">
      <c r="A157" s="14" t="s">
        <v>227</v>
      </c>
      <c r="B157" s="13" t="s">
        <v>285</v>
      </c>
    </row>
    <row r="158" spans="1:2" x14ac:dyDescent="0.25">
      <c r="A158" s="14" t="s">
        <v>227</v>
      </c>
      <c r="B158" s="13" t="s">
        <v>262</v>
      </c>
    </row>
    <row r="159" spans="1:2" x14ac:dyDescent="0.25">
      <c r="A159" s="14" t="s">
        <v>227</v>
      </c>
      <c r="B159" s="13" t="s">
        <v>286</v>
      </c>
    </row>
    <row r="160" spans="1:2" x14ac:dyDescent="0.25">
      <c r="A160" s="14" t="s">
        <v>227</v>
      </c>
      <c r="B160" s="13" t="s">
        <v>286</v>
      </c>
    </row>
    <row r="161" spans="1:2" x14ac:dyDescent="0.25">
      <c r="A161" s="14" t="s">
        <v>227</v>
      </c>
      <c r="B161" s="13" t="s">
        <v>286</v>
      </c>
    </row>
    <row r="162" spans="1:2" x14ac:dyDescent="0.25">
      <c r="A162" s="14" t="s">
        <v>227</v>
      </c>
      <c r="B162" s="13" t="s">
        <v>286</v>
      </c>
    </row>
    <row r="163" spans="1:2" x14ac:dyDescent="0.25">
      <c r="A163" s="14" t="s">
        <v>227</v>
      </c>
      <c r="B163" s="13" t="s">
        <v>286</v>
      </c>
    </row>
    <row r="164" spans="1:2" x14ac:dyDescent="0.25">
      <c r="A164" s="14" t="s">
        <v>227</v>
      </c>
      <c r="B164" s="13" t="s">
        <v>286</v>
      </c>
    </row>
    <row r="165" spans="1:2" x14ac:dyDescent="0.25">
      <c r="A165" s="14" t="s">
        <v>227</v>
      </c>
      <c r="B165" s="13" t="s">
        <v>286</v>
      </c>
    </row>
    <row r="166" spans="1:2" x14ac:dyDescent="0.25">
      <c r="A166" s="14" t="s">
        <v>227</v>
      </c>
      <c r="B166" s="13" t="s">
        <v>286</v>
      </c>
    </row>
    <row r="167" spans="1:2" x14ac:dyDescent="0.25">
      <c r="A167" s="14" t="s">
        <v>227</v>
      </c>
      <c r="B167" s="13" t="s">
        <v>286</v>
      </c>
    </row>
    <row r="168" spans="1:2" x14ac:dyDescent="0.25">
      <c r="A168" s="14" t="s">
        <v>227</v>
      </c>
      <c r="B168" s="13" t="s">
        <v>286</v>
      </c>
    </row>
    <row r="169" spans="1:2" x14ac:dyDescent="0.25">
      <c r="A169" s="14" t="s">
        <v>227</v>
      </c>
      <c r="B169" s="13" t="s">
        <v>286</v>
      </c>
    </row>
    <row r="170" spans="1:2" x14ac:dyDescent="0.25">
      <c r="A170" s="14" t="s">
        <v>227</v>
      </c>
      <c r="B170" s="13" t="s">
        <v>286</v>
      </c>
    </row>
    <row r="171" spans="1:2" x14ac:dyDescent="0.25">
      <c r="A171" s="14" t="s">
        <v>227</v>
      </c>
      <c r="B171" s="13" t="s">
        <v>286</v>
      </c>
    </row>
    <row r="172" spans="1:2" x14ac:dyDescent="0.25">
      <c r="A172" s="14" t="s">
        <v>227</v>
      </c>
      <c r="B172" s="13" t="s">
        <v>286</v>
      </c>
    </row>
    <row r="173" spans="1:2" x14ac:dyDescent="0.25">
      <c r="A173" s="14" t="s">
        <v>227</v>
      </c>
      <c r="B173" s="13" t="s">
        <v>286</v>
      </c>
    </row>
    <row r="174" spans="1:2" x14ac:dyDescent="0.25">
      <c r="A174" s="14" t="s">
        <v>227</v>
      </c>
      <c r="B174" s="13" t="s">
        <v>286</v>
      </c>
    </row>
    <row r="175" spans="1:2" x14ac:dyDescent="0.25">
      <c r="A175" s="14" t="s">
        <v>227</v>
      </c>
      <c r="B175" s="13" t="s">
        <v>286</v>
      </c>
    </row>
    <row r="176" spans="1:2" x14ac:dyDescent="0.25">
      <c r="A176" s="14" t="s">
        <v>227</v>
      </c>
      <c r="B176" s="13" t="s">
        <v>286</v>
      </c>
    </row>
    <row r="177" spans="1:2" x14ac:dyDescent="0.25">
      <c r="A177" s="14" t="s">
        <v>227</v>
      </c>
      <c r="B177" s="13" t="s">
        <v>286</v>
      </c>
    </row>
    <row r="178" spans="1:2" x14ac:dyDescent="0.25">
      <c r="A178" s="14" t="s">
        <v>227</v>
      </c>
      <c r="B178" s="13" t="s">
        <v>286</v>
      </c>
    </row>
    <row r="179" spans="1:2" x14ac:dyDescent="0.25">
      <c r="A179" s="14" t="s">
        <v>227</v>
      </c>
      <c r="B179" s="13" t="s">
        <v>287</v>
      </c>
    </row>
    <row r="180" spans="1:2" x14ac:dyDescent="0.25">
      <c r="A180" s="14" t="s">
        <v>227</v>
      </c>
      <c r="B180" s="13" t="s">
        <v>258</v>
      </c>
    </row>
    <row r="181" spans="1:2" x14ac:dyDescent="0.25">
      <c r="A181" s="14" t="s">
        <v>227</v>
      </c>
      <c r="B181" s="13" t="s">
        <v>288</v>
      </c>
    </row>
    <row r="182" spans="1:2" x14ac:dyDescent="0.25">
      <c r="A182" s="14" t="s">
        <v>227</v>
      </c>
      <c r="B182" s="13" t="s">
        <v>235</v>
      </c>
    </row>
    <row r="183" spans="1:2" x14ac:dyDescent="0.25">
      <c r="A183" s="14" t="s">
        <v>227</v>
      </c>
      <c r="B183" s="13" t="s">
        <v>235</v>
      </c>
    </row>
    <row r="184" spans="1:2" x14ac:dyDescent="0.25">
      <c r="A184" s="14" t="s">
        <v>227</v>
      </c>
      <c r="B184" s="13" t="s">
        <v>236</v>
      </c>
    </row>
    <row r="185" spans="1:2" x14ac:dyDescent="0.25">
      <c r="A185" s="14" t="s">
        <v>227</v>
      </c>
      <c r="B185" s="13" t="s">
        <v>237</v>
      </c>
    </row>
    <row r="186" spans="1:2" x14ac:dyDescent="0.25">
      <c r="A186" s="14" t="s">
        <v>227</v>
      </c>
      <c r="B186" s="13" t="s">
        <v>238</v>
      </c>
    </row>
    <row r="187" spans="1:2" x14ac:dyDescent="0.25">
      <c r="A187" s="14" t="s">
        <v>227</v>
      </c>
      <c r="B187" s="13" t="s">
        <v>238</v>
      </c>
    </row>
    <row r="188" spans="1:2" x14ac:dyDescent="0.25">
      <c r="A188" s="14" t="s">
        <v>227</v>
      </c>
      <c r="B188" s="13" t="s">
        <v>289</v>
      </c>
    </row>
    <row r="189" spans="1:2" x14ac:dyDescent="0.25">
      <c r="A189" s="14" t="s">
        <v>227</v>
      </c>
      <c r="B189" s="13" t="s">
        <v>250</v>
      </c>
    </row>
    <row r="190" spans="1:2" x14ac:dyDescent="0.25">
      <c r="A190" s="14" t="s">
        <v>227</v>
      </c>
      <c r="B190" s="13" t="s">
        <v>276</v>
      </c>
    </row>
    <row r="191" spans="1:2" x14ac:dyDescent="0.25">
      <c r="A191" s="14" t="s">
        <v>227</v>
      </c>
      <c r="B191" s="13" t="s">
        <v>254</v>
      </c>
    </row>
    <row r="192" spans="1:2" x14ac:dyDescent="0.25">
      <c r="A192" s="14" t="s">
        <v>227</v>
      </c>
      <c r="B192" s="13" t="s">
        <v>290</v>
      </c>
    </row>
    <row r="193" spans="1:2" x14ac:dyDescent="0.25">
      <c r="A193" s="14" t="s">
        <v>227</v>
      </c>
      <c r="B193" s="13" t="s">
        <v>291</v>
      </c>
    </row>
    <row r="194" spans="1:2" x14ac:dyDescent="0.25">
      <c r="A194" s="14" t="s">
        <v>227</v>
      </c>
      <c r="B194" s="13" t="s">
        <v>266</v>
      </c>
    </row>
    <row r="195" spans="1:2" x14ac:dyDescent="0.25">
      <c r="A195" s="14" t="s">
        <v>227</v>
      </c>
      <c r="B195" s="13" t="s">
        <v>292</v>
      </c>
    </row>
    <row r="196" spans="1:2" x14ac:dyDescent="0.25">
      <c r="A196" s="14" t="s">
        <v>227</v>
      </c>
      <c r="B196" s="13" t="s">
        <v>252</v>
      </c>
    </row>
    <row r="197" spans="1:2" x14ac:dyDescent="0.25">
      <c r="A197" s="14" t="s">
        <v>227</v>
      </c>
      <c r="B197" s="13" t="s">
        <v>249</v>
      </c>
    </row>
    <row r="198" spans="1:2" x14ac:dyDescent="0.25">
      <c r="A198" s="14" t="s">
        <v>227</v>
      </c>
      <c r="B198" s="13" t="s">
        <v>249</v>
      </c>
    </row>
    <row r="199" spans="1:2" x14ac:dyDescent="0.25">
      <c r="A199" s="14" t="s">
        <v>227</v>
      </c>
      <c r="B199" s="13" t="s">
        <v>237</v>
      </c>
    </row>
    <row r="200" spans="1:2" x14ac:dyDescent="0.25">
      <c r="A200" s="14" t="s">
        <v>227</v>
      </c>
      <c r="B200" s="13" t="s">
        <v>237</v>
      </c>
    </row>
    <row r="201" spans="1:2" x14ac:dyDescent="0.25">
      <c r="A201" s="14" t="s">
        <v>227</v>
      </c>
      <c r="B201" s="13" t="s">
        <v>268</v>
      </c>
    </row>
    <row r="202" spans="1:2" x14ac:dyDescent="0.25">
      <c r="A202" s="14" t="s">
        <v>227</v>
      </c>
      <c r="B202" s="13" t="s">
        <v>254</v>
      </c>
    </row>
    <row r="203" spans="1:2" x14ac:dyDescent="0.25">
      <c r="A203" s="14" t="s">
        <v>227</v>
      </c>
      <c r="B203" s="13" t="s">
        <v>293</v>
      </c>
    </row>
    <row r="204" spans="1:2" x14ac:dyDescent="0.25">
      <c r="A204" s="14" t="s">
        <v>227</v>
      </c>
      <c r="B204" s="13" t="s">
        <v>256</v>
      </c>
    </row>
    <row r="205" spans="1:2" x14ac:dyDescent="0.25">
      <c r="A205" s="14" t="s">
        <v>227</v>
      </c>
      <c r="B205" s="13" t="s">
        <v>247</v>
      </c>
    </row>
    <row r="206" spans="1:2" x14ac:dyDescent="0.25">
      <c r="A206" s="14" t="s">
        <v>227</v>
      </c>
      <c r="B206" s="13" t="s">
        <v>294</v>
      </c>
    </row>
    <row r="207" spans="1:2" x14ac:dyDescent="0.25">
      <c r="A207" s="14" t="s">
        <v>227</v>
      </c>
      <c r="B207" s="13" t="s">
        <v>241</v>
      </c>
    </row>
    <row r="208" spans="1:2" x14ac:dyDescent="0.25">
      <c r="A208" s="14" t="s">
        <v>227</v>
      </c>
      <c r="B208" s="13" t="s">
        <v>270</v>
      </c>
    </row>
    <row r="209" spans="1:2" x14ac:dyDescent="0.25">
      <c r="A209" s="14" t="s">
        <v>227</v>
      </c>
      <c r="B209" s="13" t="s">
        <v>295</v>
      </c>
    </row>
    <row r="210" spans="1:2" x14ac:dyDescent="0.25">
      <c r="A210" s="14" t="s">
        <v>227</v>
      </c>
      <c r="B210" s="13" t="s">
        <v>295</v>
      </c>
    </row>
    <row r="211" spans="1:2" x14ac:dyDescent="0.25">
      <c r="A211" s="14" t="s">
        <v>227</v>
      </c>
      <c r="B211" s="13" t="s">
        <v>235</v>
      </c>
    </row>
    <row r="212" spans="1:2" x14ac:dyDescent="0.25">
      <c r="A212" s="14" t="s">
        <v>227</v>
      </c>
      <c r="B212" s="13" t="s">
        <v>237</v>
      </c>
    </row>
    <row r="213" spans="1:2" x14ac:dyDescent="0.25">
      <c r="A213" s="14" t="s">
        <v>227</v>
      </c>
      <c r="B213" s="13" t="s">
        <v>237</v>
      </c>
    </row>
    <row r="214" spans="1:2" x14ac:dyDescent="0.25">
      <c r="A214" s="14" t="s">
        <v>227</v>
      </c>
      <c r="B214" s="13" t="s">
        <v>296</v>
      </c>
    </row>
    <row r="215" spans="1:2" x14ac:dyDescent="0.25">
      <c r="A215" s="14" t="s">
        <v>227</v>
      </c>
      <c r="B215" s="13" t="s">
        <v>247</v>
      </c>
    </row>
    <row r="216" spans="1:2" x14ac:dyDescent="0.25">
      <c r="A216" s="14" t="s">
        <v>227</v>
      </c>
      <c r="B216" s="13" t="s">
        <v>286</v>
      </c>
    </row>
    <row r="217" spans="1:2" x14ac:dyDescent="0.25">
      <c r="A217" s="14" t="s">
        <v>227</v>
      </c>
      <c r="B217" s="13" t="s">
        <v>286</v>
      </c>
    </row>
    <row r="218" spans="1:2" x14ac:dyDescent="0.25">
      <c r="A218" s="14" t="s">
        <v>227</v>
      </c>
      <c r="B218" s="13" t="s">
        <v>252</v>
      </c>
    </row>
    <row r="219" spans="1:2" x14ac:dyDescent="0.25">
      <c r="A219" s="14" t="s">
        <v>227</v>
      </c>
      <c r="B219" s="13" t="s">
        <v>237</v>
      </c>
    </row>
    <row r="220" spans="1:2" x14ac:dyDescent="0.25">
      <c r="A220" s="14" t="s">
        <v>227</v>
      </c>
      <c r="B220" s="13" t="s">
        <v>237</v>
      </c>
    </row>
    <row r="221" spans="1:2" x14ac:dyDescent="0.25">
      <c r="A221" s="14" t="s">
        <v>227</v>
      </c>
      <c r="B221" s="13" t="s">
        <v>252</v>
      </c>
    </row>
    <row r="222" spans="1:2" x14ac:dyDescent="0.25">
      <c r="A222" s="14" t="s">
        <v>227</v>
      </c>
      <c r="B222" s="13" t="s">
        <v>252</v>
      </c>
    </row>
    <row r="223" spans="1:2" x14ac:dyDescent="0.25">
      <c r="A223" s="14" t="s">
        <v>227</v>
      </c>
      <c r="B223" s="13" t="s">
        <v>249</v>
      </c>
    </row>
    <row r="224" spans="1:2" x14ac:dyDescent="0.25">
      <c r="A224" s="14" t="s">
        <v>227</v>
      </c>
      <c r="B224" s="13" t="s">
        <v>297</v>
      </c>
    </row>
    <row r="225" spans="1:2" x14ac:dyDescent="0.25">
      <c r="A225" s="14" t="s">
        <v>227</v>
      </c>
      <c r="B225" s="13" t="s">
        <v>298</v>
      </c>
    </row>
    <row r="226" spans="1:2" x14ac:dyDescent="0.25">
      <c r="A226" s="14" t="s">
        <v>227</v>
      </c>
      <c r="B226" s="13" t="s">
        <v>254</v>
      </c>
    </row>
    <row r="227" spans="1:2" x14ac:dyDescent="0.25">
      <c r="A227" s="14" t="s">
        <v>227</v>
      </c>
      <c r="B227" s="13" t="s">
        <v>246</v>
      </c>
    </row>
    <row r="228" spans="1:2" x14ac:dyDescent="0.25">
      <c r="A228" s="14" t="s">
        <v>227</v>
      </c>
      <c r="B228" s="13" t="s">
        <v>256</v>
      </c>
    </row>
    <row r="229" spans="1:2" x14ac:dyDescent="0.25">
      <c r="A229" s="14" t="s">
        <v>227</v>
      </c>
      <c r="B229" s="13" t="s">
        <v>228</v>
      </c>
    </row>
    <row r="230" spans="1:2" x14ac:dyDescent="0.25">
      <c r="A230" s="14" t="s">
        <v>227</v>
      </c>
      <c r="B230" s="13" t="s">
        <v>228</v>
      </c>
    </row>
    <row r="231" spans="1:2" x14ac:dyDescent="0.25">
      <c r="A231" s="14" t="s">
        <v>227</v>
      </c>
      <c r="B231" s="13" t="s">
        <v>255</v>
      </c>
    </row>
    <row r="232" spans="1:2" x14ac:dyDescent="0.25">
      <c r="A232" s="14" t="s">
        <v>227</v>
      </c>
      <c r="B232" s="13" t="s">
        <v>299</v>
      </c>
    </row>
    <row r="233" spans="1:2" x14ac:dyDescent="0.25">
      <c r="A233" s="14" t="s">
        <v>227</v>
      </c>
      <c r="B233" s="13" t="s">
        <v>259</v>
      </c>
    </row>
    <row r="234" spans="1:2" x14ac:dyDescent="0.25">
      <c r="A234" s="14" t="s">
        <v>227</v>
      </c>
      <c r="B234" s="13" t="s">
        <v>235</v>
      </c>
    </row>
    <row r="235" spans="1:2" x14ac:dyDescent="0.25">
      <c r="A235" s="14" t="s">
        <v>227</v>
      </c>
      <c r="B235" s="13" t="s">
        <v>237</v>
      </c>
    </row>
    <row r="236" spans="1:2" x14ac:dyDescent="0.25">
      <c r="A236" s="14" t="s">
        <v>227</v>
      </c>
      <c r="B236" s="13" t="s">
        <v>300</v>
      </c>
    </row>
    <row r="237" spans="1:2" x14ac:dyDescent="0.25">
      <c r="A237" s="14" t="s">
        <v>227</v>
      </c>
      <c r="B237" s="13" t="s">
        <v>301</v>
      </c>
    </row>
    <row r="238" spans="1:2" x14ac:dyDescent="0.25">
      <c r="A238" s="14" t="s">
        <v>227</v>
      </c>
      <c r="B238" s="13" t="s">
        <v>263</v>
      </c>
    </row>
    <row r="239" spans="1:2" x14ac:dyDescent="0.25">
      <c r="A239" s="14" t="s">
        <v>227</v>
      </c>
      <c r="B239" s="13" t="s">
        <v>302</v>
      </c>
    </row>
    <row r="240" spans="1:2" x14ac:dyDescent="0.25">
      <c r="A240" s="14" t="s">
        <v>227</v>
      </c>
      <c r="B240" s="13" t="s">
        <v>228</v>
      </c>
    </row>
    <row r="241" spans="1:2" x14ac:dyDescent="0.25">
      <c r="A241" s="14" t="s">
        <v>227</v>
      </c>
      <c r="B241" s="13" t="s">
        <v>228</v>
      </c>
    </row>
    <row r="242" spans="1:2" x14ac:dyDescent="0.25">
      <c r="A242" s="14" t="s">
        <v>227</v>
      </c>
      <c r="B242" s="13" t="s">
        <v>247</v>
      </c>
    </row>
    <row r="243" spans="1:2" x14ac:dyDescent="0.25">
      <c r="A243" s="14" t="s">
        <v>227</v>
      </c>
      <c r="B243" s="13" t="s">
        <v>247</v>
      </c>
    </row>
    <row r="244" spans="1:2" x14ac:dyDescent="0.25">
      <c r="A244" s="14" t="s">
        <v>227</v>
      </c>
      <c r="B244" s="13" t="s">
        <v>247</v>
      </c>
    </row>
    <row r="245" spans="1:2" x14ac:dyDescent="0.25">
      <c r="A245" s="14" t="s">
        <v>227</v>
      </c>
      <c r="B245" s="13" t="s">
        <v>303</v>
      </c>
    </row>
    <row r="246" spans="1:2" x14ac:dyDescent="0.25">
      <c r="A246" s="14" t="s">
        <v>227</v>
      </c>
      <c r="B246" s="13" t="s">
        <v>304</v>
      </c>
    </row>
    <row r="247" spans="1:2" x14ac:dyDescent="0.25">
      <c r="A247" s="14" t="s">
        <v>227</v>
      </c>
      <c r="B247" s="13" t="s">
        <v>232</v>
      </c>
    </row>
    <row r="248" spans="1:2" x14ac:dyDescent="0.25">
      <c r="A248" s="14" t="s">
        <v>227</v>
      </c>
      <c r="B248" s="13" t="s">
        <v>235</v>
      </c>
    </row>
    <row r="249" spans="1:2" x14ac:dyDescent="0.25">
      <c r="A249" s="14" t="s">
        <v>227</v>
      </c>
      <c r="B249" s="13" t="s">
        <v>235</v>
      </c>
    </row>
    <row r="250" spans="1:2" x14ac:dyDescent="0.25">
      <c r="A250" s="14" t="s">
        <v>227</v>
      </c>
      <c r="B250" s="13" t="s">
        <v>237</v>
      </c>
    </row>
    <row r="251" spans="1:2" x14ac:dyDescent="0.25">
      <c r="A251" s="14" t="s">
        <v>227</v>
      </c>
      <c r="B251" s="13" t="s">
        <v>237</v>
      </c>
    </row>
    <row r="252" spans="1:2" x14ac:dyDescent="0.25">
      <c r="A252" s="14" t="s">
        <v>227</v>
      </c>
      <c r="B252" s="13" t="s">
        <v>237</v>
      </c>
    </row>
    <row r="253" spans="1:2" x14ac:dyDescent="0.25">
      <c r="A253" s="14" t="s">
        <v>227</v>
      </c>
      <c r="B253" s="13" t="s">
        <v>237</v>
      </c>
    </row>
    <row r="254" spans="1:2" x14ac:dyDescent="0.25">
      <c r="A254" s="14" t="s">
        <v>227</v>
      </c>
      <c r="B254" s="13" t="s">
        <v>237</v>
      </c>
    </row>
    <row r="255" spans="1:2" x14ac:dyDescent="0.25">
      <c r="A255" s="14" t="s">
        <v>227</v>
      </c>
      <c r="B255" s="13" t="s">
        <v>239</v>
      </c>
    </row>
    <row r="256" spans="1:2" x14ac:dyDescent="0.25">
      <c r="A256" s="14" t="s">
        <v>227</v>
      </c>
      <c r="B256" s="13" t="s">
        <v>264</v>
      </c>
    </row>
    <row r="257" spans="1:2" x14ac:dyDescent="0.25">
      <c r="A257" s="14" t="s">
        <v>227</v>
      </c>
      <c r="B257" s="13" t="s">
        <v>256</v>
      </c>
    </row>
    <row r="258" spans="1:2" x14ac:dyDescent="0.25">
      <c r="A258" s="14" t="s">
        <v>227</v>
      </c>
      <c r="B258" s="13" t="s">
        <v>305</v>
      </c>
    </row>
    <row r="259" spans="1:2" x14ac:dyDescent="0.25">
      <c r="A259" s="14" t="s">
        <v>227</v>
      </c>
      <c r="B259" s="13" t="s">
        <v>306</v>
      </c>
    </row>
    <row r="260" spans="1:2" x14ac:dyDescent="0.25">
      <c r="A260" s="14" t="s">
        <v>227</v>
      </c>
      <c r="B260" s="13" t="s">
        <v>232</v>
      </c>
    </row>
    <row r="261" spans="1:2" x14ac:dyDescent="0.25">
      <c r="A261" s="14" t="s">
        <v>227</v>
      </c>
      <c r="B261" s="13" t="s">
        <v>232</v>
      </c>
    </row>
    <row r="262" spans="1:2" x14ac:dyDescent="0.25">
      <c r="A262" s="14" t="s">
        <v>227</v>
      </c>
      <c r="B262" s="13" t="s">
        <v>232</v>
      </c>
    </row>
    <row r="263" spans="1:2" x14ac:dyDescent="0.25">
      <c r="A263" s="14" t="s">
        <v>227</v>
      </c>
      <c r="B263" s="13" t="s">
        <v>232</v>
      </c>
    </row>
    <row r="264" spans="1:2" x14ac:dyDescent="0.25">
      <c r="A264" s="14" t="s">
        <v>227</v>
      </c>
      <c r="B264" s="13" t="s">
        <v>259</v>
      </c>
    </row>
    <row r="265" spans="1:2" x14ac:dyDescent="0.25">
      <c r="A265" s="14" t="s">
        <v>227</v>
      </c>
      <c r="B265" s="13" t="s">
        <v>235</v>
      </c>
    </row>
    <row r="266" spans="1:2" x14ac:dyDescent="0.25">
      <c r="A266" s="14" t="s">
        <v>227</v>
      </c>
      <c r="B266" s="13" t="s">
        <v>237</v>
      </c>
    </row>
    <row r="267" spans="1:2" x14ac:dyDescent="0.25">
      <c r="A267" s="14" t="s">
        <v>227</v>
      </c>
      <c r="B267" s="13" t="s">
        <v>237</v>
      </c>
    </row>
    <row r="268" spans="1:2" x14ac:dyDescent="0.25">
      <c r="A268" s="14" t="s">
        <v>227</v>
      </c>
      <c r="B268" s="13" t="s">
        <v>263</v>
      </c>
    </row>
    <row r="269" spans="1:2" x14ac:dyDescent="0.25">
      <c r="A269" s="14" t="s">
        <v>227</v>
      </c>
      <c r="B269" s="13" t="s">
        <v>228</v>
      </c>
    </row>
    <row r="270" spans="1:2" x14ac:dyDescent="0.25">
      <c r="A270" s="14" t="s">
        <v>227</v>
      </c>
      <c r="B270" s="13" t="s">
        <v>247</v>
      </c>
    </row>
    <row r="271" spans="1:2" x14ac:dyDescent="0.25">
      <c r="A271" s="14" t="s">
        <v>227</v>
      </c>
      <c r="B271" s="13" t="s">
        <v>247</v>
      </c>
    </row>
    <row r="272" spans="1:2" x14ac:dyDescent="0.25">
      <c r="A272" s="14" t="s">
        <v>227</v>
      </c>
      <c r="B272" s="13" t="s">
        <v>242</v>
      </c>
    </row>
    <row r="273" spans="1:2" x14ac:dyDescent="0.25">
      <c r="A273" s="14" t="s">
        <v>227</v>
      </c>
      <c r="B273" s="13" t="s">
        <v>252</v>
      </c>
    </row>
    <row r="274" spans="1:2" x14ac:dyDescent="0.25">
      <c r="A274" s="14" t="s">
        <v>227</v>
      </c>
      <c r="B274" s="13" t="s">
        <v>232</v>
      </c>
    </row>
    <row r="275" spans="1:2" x14ac:dyDescent="0.25">
      <c r="A275" s="14" t="s">
        <v>227</v>
      </c>
      <c r="B275" s="13" t="s">
        <v>232</v>
      </c>
    </row>
    <row r="276" spans="1:2" x14ac:dyDescent="0.25">
      <c r="A276" s="14" t="s">
        <v>227</v>
      </c>
      <c r="B276" s="13" t="s">
        <v>232</v>
      </c>
    </row>
    <row r="277" spans="1:2" x14ac:dyDescent="0.25">
      <c r="A277" s="14" t="s">
        <v>227</v>
      </c>
      <c r="B277" s="13" t="s">
        <v>270</v>
      </c>
    </row>
    <row r="278" spans="1:2" x14ac:dyDescent="0.25">
      <c r="A278" s="14" t="s">
        <v>227</v>
      </c>
      <c r="B278" s="13" t="s">
        <v>267</v>
      </c>
    </row>
    <row r="279" spans="1:2" x14ac:dyDescent="0.25">
      <c r="A279" s="14" t="s">
        <v>227</v>
      </c>
      <c r="B279" s="13" t="s">
        <v>307</v>
      </c>
    </row>
    <row r="280" spans="1:2" x14ac:dyDescent="0.25">
      <c r="A280" s="14" t="s">
        <v>227</v>
      </c>
      <c r="B280" s="13" t="s">
        <v>308</v>
      </c>
    </row>
    <row r="281" spans="1:2" x14ac:dyDescent="0.25">
      <c r="A281" s="14" t="s">
        <v>227</v>
      </c>
      <c r="B281" s="13" t="s">
        <v>309</v>
      </c>
    </row>
    <row r="282" spans="1:2" x14ac:dyDescent="0.25">
      <c r="A282" s="14" t="s">
        <v>227</v>
      </c>
      <c r="B282" s="13" t="s">
        <v>310</v>
      </c>
    </row>
    <row r="283" spans="1:2" x14ac:dyDescent="0.25">
      <c r="A283" s="14" t="s">
        <v>227</v>
      </c>
      <c r="B283" s="13" t="s">
        <v>247</v>
      </c>
    </row>
    <row r="284" spans="1:2" x14ac:dyDescent="0.25">
      <c r="A284" s="14" t="s">
        <v>227</v>
      </c>
      <c r="B284" s="13" t="s">
        <v>248</v>
      </c>
    </row>
    <row r="285" spans="1:2" x14ac:dyDescent="0.25">
      <c r="A285" s="14" t="s">
        <v>227</v>
      </c>
      <c r="B285" s="13" t="s">
        <v>311</v>
      </c>
    </row>
    <row r="286" spans="1:2" x14ac:dyDescent="0.25">
      <c r="A286" s="14" t="s">
        <v>227</v>
      </c>
      <c r="B286" s="13" t="s">
        <v>232</v>
      </c>
    </row>
    <row r="287" spans="1:2" x14ac:dyDescent="0.25">
      <c r="A287" s="14" t="s">
        <v>227</v>
      </c>
      <c r="B287" s="13" t="s">
        <v>232</v>
      </c>
    </row>
    <row r="288" spans="1:2" x14ac:dyDescent="0.25">
      <c r="A288" s="14" t="s">
        <v>227</v>
      </c>
      <c r="B288" s="13" t="s">
        <v>235</v>
      </c>
    </row>
    <row r="289" spans="1:2" x14ac:dyDescent="0.25">
      <c r="A289" s="14" t="s">
        <v>227</v>
      </c>
      <c r="B289" s="13" t="s">
        <v>237</v>
      </c>
    </row>
    <row r="290" spans="1:2" x14ac:dyDescent="0.25">
      <c r="A290" s="14" t="s">
        <v>227</v>
      </c>
      <c r="B290" s="13" t="s">
        <v>237</v>
      </c>
    </row>
    <row r="291" spans="1:2" x14ac:dyDescent="0.25">
      <c r="A291" s="14" t="s">
        <v>227</v>
      </c>
      <c r="B291" s="13" t="s">
        <v>237</v>
      </c>
    </row>
    <row r="292" spans="1:2" x14ac:dyDescent="0.25">
      <c r="A292" s="14" t="s">
        <v>227</v>
      </c>
      <c r="B292" s="13" t="s">
        <v>237</v>
      </c>
    </row>
    <row r="293" spans="1:2" x14ac:dyDescent="0.25">
      <c r="A293" s="14" t="s">
        <v>227</v>
      </c>
      <c r="B293" s="13" t="s">
        <v>228</v>
      </c>
    </row>
    <row r="294" spans="1:2" x14ac:dyDescent="0.25">
      <c r="A294" s="14" t="s">
        <v>227</v>
      </c>
      <c r="B294" s="13" t="s">
        <v>228</v>
      </c>
    </row>
    <row r="295" spans="1:2" x14ac:dyDescent="0.25">
      <c r="A295" s="14" t="s">
        <v>227</v>
      </c>
      <c r="B295" s="13" t="s">
        <v>260</v>
      </c>
    </row>
    <row r="296" spans="1:2" x14ac:dyDescent="0.25">
      <c r="A296" s="14" t="s">
        <v>227</v>
      </c>
      <c r="B296" s="13" t="s">
        <v>237</v>
      </c>
    </row>
    <row r="297" spans="1:2" x14ac:dyDescent="0.25">
      <c r="A297" s="14" t="s">
        <v>227</v>
      </c>
      <c r="B297" s="13" t="s">
        <v>254</v>
      </c>
    </row>
    <row r="298" spans="1:2" x14ac:dyDescent="0.25">
      <c r="A298" s="14" t="s">
        <v>227</v>
      </c>
      <c r="B298" s="13" t="s">
        <v>271</v>
      </c>
    </row>
    <row r="299" spans="1:2" x14ac:dyDescent="0.25">
      <c r="A299" s="14" t="s">
        <v>227</v>
      </c>
      <c r="B299" s="13" t="s">
        <v>257</v>
      </c>
    </row>
    <row r="300" spans="1:2" x14ac:dyDescent="0.25">
      <c r="A300" s="14" t="s">
        <v>227</v>
      </c>
      <c r="B300" s="13" t="s">
        <v>312</v>
      </c>
    </row>
    <row r="301" spans="1:2" x14ac:dyDescent="0.25">
      <c r="A301" s="14" t="s">
        <v>227</v>
      </c>
      <c r="B301" s="13" t="s">
        <v>313</v>
      </c>
    </row>
    <row r="302" spans="1:2" x14ac:dyDescent="0.25">
      <c r="A302" s="14" t="s">
        <v>227</v>
      </c>
      <c r="B302" s="13" t="s">
        <v>241</v>
      </c>
    </row>
    <row r="303" spans="1:2" x14ac:dyDescent="0.25">
      <c r="A303" s="14" t="s">
        <v>227</v>
      </c>
      <c r="B303" s="13" t="s">
        <v>252</v>
      </c>
    </row>
    <row r="304" spans="1:2" x14ac:dyDescent="0.25">
      <c r="A304" s="14" t="s">
        <v>227</v>
      </c>
      <c r="B304" s="13" t="s">
        <v>252</v>
      </c>
    </row>
    <row r="305" spans="1:2" x14ac:dyDescent="0.25">
      <c r="A305" s="14" t="s">
        <v>227</v>
      </c>
      <c r="B305" s="13" t="s">
        <v>235</v>
      </c>
    </row>
    <row r="306" spans="1:2" x14ac:dyDescent="0.25">
      <c r="A306" s="14" t="s">
        <v>227</v>
      </c>
      <c r="B306" s="13" t="s">
        <v>237</v>
      </c>
    </row>
    <row r="307" spans="1:2" x14ac:dyDescent="0.25">
      <c r="A307" s="14" t="s">
        <v>227</v>
      </c>
      <c r="B307" s="13" t="s">
        <v>237</v>
      </c>
    </row>
    <row r="308" spans="1:2" x14ac:dyDescent="0.25">
      <c r="A308" s="14" t="s">
        <v>227</v>
      </c>
      <c r="B308" s="13" t="s">
        <v>228</v>
      </c>
    </row>
    <row r="309" spans="1:2" x14ac:dyDescent="0.25">
      <c r="A309" s="14" t="s">
        <v>227</v>
      </c>
      <c r="B309" s="13" t="s">
        <v>247</v>
      </c>
    </row>
    <row r="310" spans="1:2" x14ac:dyDescent="0.25">
      <c r="A310" s="14" t="s">
        <v>227</v>
      </c>
      <c r="B310" s="13" t="s">
        <v>252</v>
      </c>
    </row>
    <row r="311" spans="1:2" x14ac:dyDescent="0.25">
      <c r="A311" s="14" t="s">
        <v>227</v>
      </c>
      <c r="B311" s="13" t="s">
        <v>306</v>
      </c>
    </row>
    <row r="312" spans="1:2" x14ac:dyDescent="0.25">
      <c r="A312" s="14" t="s">
        <v>227</v>
      </c>
      <c r="B312" s="13" t="s">
        <v>232</v>
      </c>
    </row>
    <row r="313" spans="1:2" x14ac:dyDescent="0.25">
      <c r="A313" s="14" t="s">
        <v>227</v>
      </c>
      <c r="B313" s="13" t="s">
        <v>232</v>
      </c>
    </row>
    <row r="314" spans="1:2" x14ac:dyDescent="0.25">
      <c r="A314" s="14" t="s">
        <v>227</v>
      </c>
      <c r="B314" s="13" t="s">
        <v>235</v>
      </c>
    </row>
    <row r="315" spans="1:2" x14ac:dyDescent="0.25">
      <c r="A315" s="14" t="s">
        <v>227</v>
      </c>
      <c r="B315" s="13" t="s">
        <v>237</v>
      </c>
    </row>
    <row r="316" spans="1:2" x14ac:dyDescent="0.25">
      <c r="A316" s="14" t="s">
        <v>227</v>
      </c>
      <c r="B316" s="13" t="s">
        <v>237</v>
      </c>
    </row>
    <row r="317" spans="1:2" x14ac:dyDescent="0.25">
      <c r="A317" s="14" t="s">
        <v>227</v>
      </c>
      <c r="B317" s="13" t="s">
        <v>239</v>
      </c>
    </row>
    <row r="318" spans="1:2" x14ac:dyDescent="0.25">
      <c r="A318" s="14" t="s">
        <v>227</v>
      </c>
      <c r="B318" s="13" t="s">
        <v>314</v>
      </c>
    </row>
    <row r="319" spans="1:2" x14ac:dyDescent="0.25">
      <c r="A319" s="14" t="s">
        <v>227</v>
      </c>
      <c r="B319" s="13" t="s">
        <v>247</v>
      </c>
    </row>
    <row r="320" spans="1:2" x14ac:dyDescent="0.25">
      <c r="A320" s="14" t="s">
        <v>227</v>
      </c>
      <c r="B320" s="13" t="s">
        <v>247</v>
      </c>
    </row>
    <row r="321" spans="1:2" x14ac:dyDescent="0.25">
      <c r="A321" s="14" t="s">
        <v>227</v>
      </c>
      <c r="B321" s="13" t="s">
        <v>315</v>
      </c>
    </row>
    <row r="322" spans="1:2" x14ac:dyDescent="0.25">
      <c r="A322" s="14" t="s">
        <v>227</v>
      </c>
      <c r="B322" s="13" t="s">
        <v>258</v>
      </c>
    </row>
    <row r="323" spans="1:2" x14ac:dyDescent="0.25">
      <c r="A323" s="14" t="s">
        <v>227</v>
      </c>
      <c r="B323" s="13" t="s">
        <v>252</v>
      </c>
    </row>
    <row r="324" spans="1:2" x14ac:dyDescent="0.25">
      <c r="A324" s="14" t="s">
        <v>227</v>
      </c>
      <c r="B324" s="13" t="s">
        <v>252</v>
      </c>
    </row>
    <row r="325" spans="1:2" x14ac:dyDescent="0.25">
      <c r="A325" s="14" t="s">
        <v>227</v>
      </c>
      <c r="B325" s="13" t="s">
        <v>232</v>
      </c>
    </row>
    <row r="326" spans="1:2" x14ac:dyDescent="0.25">
      <c r="A326" s="14" t="s">
        <v>227</v>
      </c>
      <c r="B326" s="13" t="s">
        <v>270</v>
      </c>
    </row>
    <row r="327" spans="1:2" x14ac:dyDescent="0.25">
      <c r="A327" s="14" t="s">
        <v>227</v>
      </c>
      <c r="B327" s="13" t="s">
        <v>235</v>
      </c>
    </row>
    <row r="328" spans="1:2" x14ac:dyDescent="0.25">
      <c r="A328" s="14" t="s">
        <v>227</v>
      </c>
      <c r="B328" s="13" t="s">
        <v>235</v>
      </c>
    </row>
    <row r="329" spans="1:2" x14ac:dyDescent="0.25">
      <c r="A329" s="14" t="s">
        <v>227</v>
      </c>
      <c r="B329" s="13" t="s">
        <v>237</v>
      </c>
    </row>
    <row r="330" spans="1:2" x14ac:dyDescent="0.25">
      <c r="A330" s="14" t="s">
        <v>227</v>
      </c>
      <c r="B330" s="13" t="s">
        <v>243</v>
      </c>
    </row>
    <row r="331" spans="1:2" x14ac:dyDescent="0.25">
      <c r="A331" s="14" t="s">
        <v>227</v>
      </c>
      <c r="B331" s="13" t="s">
        <v>228</v>
      </c>
    </row>
    <row r="332" spans="1:2" x14ac:dyDescent="0.25">
      <c r="A332" s="14" t="s">
        <v>227</v>
      </c>
      <c r="B332" s="13" t="s">
        <v>228</v>
      </c>
    </row>
    <row r="333" spans="1:2" x14ac:dyDescent="0.25">
      <c r="A333" s="14" t="s">
        <v>227</v>
      </c>
      <c r="B333" s="13" t="s">
        <v>258</v>
      </c>
    </row>
    <row r="334" spans="1:2" x14ac:dyDescent="0.25">
      <c r="A334" s="14" t="s">
        <v>227</v>
      </c>
      <c r="B334" s="13" t="s">
        <v>252</v>
      </c>
    </row>
    <row r="335" spans="1:2" x14ac:dyDescent="0.25">
      <c r="A335" s="14" t="s">
        <v>227</v>
      </c>
      <c r="B335" s="13" t="s">
        <v>232</v>
      </c>
    </row>
    <row r="336" spans="1:2" x14ac:dyDescent="0.25">
      <c r="A336" s="14" t="s">
        <v>227</v>
      </c>
      <c r="B336" s="13" t="s">
        <v>235</v>
      </c>
    </row>
    <row r="337" spans="1:2" x14ac:dyDescent="0.25">
      <c r="A337" s="14" t="s">
        <v>227</v>
      </c>
      <c r="B337" s="13" t="s">
        <v>237</v>
      </c>
    </row>
    <row r="338" spans="1:2" x14ac:dyDescent="0.25">
      <c r="A338" s="14" t="s">
        <v>227</v>
      </c>
      <c r="B338" s="13" t="s">
        <v>237</v>
      </c>
    </row>
    <row r="339" spans="1:2" x14ac:dyDescent="0.25">
      <c r="A339" s="14" t="s">
        <v>227</v>
      </c>
      <c r="B339" s="13" t="s">
        <v>300</v>
      </c>
    </row>
    <row r="340" spans="1:2" x14ac:dyDescent="0.25">
      <c r="A340" s="14" t="s">
        <v>227</v>
      </c>
      <c r="B340" s="13" t="s">
        <v>253</v>
      </c>
    </row>
    <row r="341" spans="1:2" x14ac:dyDescent="0.25">
      <c r="A341" s="14" t="s">
        <v>227</v>
      </c>
      <c r="B341" s="13" t="s">
        <v>254</v>
      </c>
    </row>
    <row r="342" spans="1:2" x14ac:dyDescent="0.25">
      <c r="A342" s="14" t="s">
        <v>227</v>
      </c>
      <c r="B342" s="13" t="s">
        <v>254</v>
      </c>
    </row>
    <row r="343" spans="1:2" x14ac:dyDescent="0.25">
      <c r="A343" s="14" t="s">
        <v>227</v>
      </c>
      <c r="B343" s="13" t="s">
        <v>316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Usuario</cp:lastModifiedBy>
  <dcterms:created xsi:type="dcterms:W3CDTF">2026-03-16T20:58:53Z</dcterms:created>
  <dcterms:modified xsi:type="dcterms:W3CDTF">2026-07-16T16:04:21Z</dcterms:modified>
</cp:coreProperties>
</file>